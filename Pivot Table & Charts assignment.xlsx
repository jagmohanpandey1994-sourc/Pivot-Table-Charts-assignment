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4.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202300"/>
  <mc:AlternateContent xmlns:mc="http://schemas.openxmlformats.org/markup-compatibility/2006">
    <mc:Choice Requires="x15">
      <x15ac:absPath xmlns:x15ac="http://schemas.microsoft.com/office/spreadsheetml/2010/11/ac" url="C:\Users\USER\Downloads\"/>
    </mc:Choice>
  </mc:AlternateContent>
  <xr:revisionPtr revIDLastSave="0" documentId="13_ncr:1_{E75867F8-FEE0-49F5-84F8-3CA78FEBDD19}" xr6:coauthVersionLast="47" xr6:coauthVersionMax="47" xr10:uidLastSave="{00000000-0000-0000-0000-000000000000}"/>
  <bookViews>
    <workbookView xWindow="-110" yWindow="-110" windowWidth="19420" windowHeight="10300" activeTab="2" xr2:uid="{DCFBB6D6-4479-419D-8424-B0F629FA52CA}"/>
  </bookViews>
  <sheets>
    <sheet name="Sheet2" sheetId="2" r:id="rId1"/>
    <sheet name="Sheet1" sheetId="1" r:id="rId2"/>
    <sheet name="Sheet5" sheetId="5" r:id="rId3"/>
    <sheet name="Sheet7" sheetId="7" r:id="rId4"/>
    <sheet name="Sheet6" sheetId="6" r:id="rId5"/>
    <sheet name="Sheet4" sheetId="4" r:id="rId6"/>
    <sheet name="Sheet9" sheetId="9" r:id="rId7"/>
    <sheet name="Sheet8" sheetId="8" r:id="rId8"/>
    <sheet name="Sheet12" sheetId="12" r:id="rId9"/>
  </sheets>
  <definedNames>
    <definedName name="_xlnm._FilterDatabase" localSheetId="8" hidden="1">Sheet12!$A$1:$F$21</definedName>
    <definedName name="_xlnm._FilterDatabase" localSheetId="5" hidden="1">Sheet4!$A$1:$E$21</definedName>
    <definedName name="_xlnm._FilterDatabase" localSheetId="4" hidden="1">Sheet6!$A$1:$E$21</definedName>
    <definedName name="_xlnm._FilterDatabase" localSheetId="7" hidden="1">Sheet8!$A$1:$E$21</definedName>
    <definedName name="Slicer_Product">#N/A</definedName>
    <definedName name="Slicer_Product1">#N/A</definedName>
  </definedNames>
  <calcPr calcId="191029"/>
  <pivotCaches>
    <pivotCache cacheId="6" r:id="rId10"/>
    <pivotCache cacheId="12" r:id="rId11"/>
    <pivotCache cacheId="17" r:id="rId12"/>
    <pivotCache cacheId="25" r:id="rId13"/>
    <pivotCache cacheId="71" r:id="rId14"/>
    <pivotCache cacheId="100" r:id="rId15"/>
  </pivotCaches>
  <extLst>
    <ext xmlns:x14="http://schemas.microsoft.com/office/spreadsheetml/2009/9/main" uri="{BBE1A952-AA13-448e-AADC-164F8A28A991}">
      <x14:slicerCaches>
        <x14:slicerCache r:id="rId16"/>
        <x14:slicerCache r:id="rId1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9" i="8" l="1"/>
  <c r="G16" i="8"/>
  <c r="G13" i="8"/>
  <c r="G10" i="8"/>
  <c r="G7" i="8"/>
  <c r="G4" i="8"/>
</calcChain>
</file>

<file path=xl/sharedStrings.xml><?xml version="1.0" encoding="utf-8"?>
<sst xmlns="http://schemas.openxmlformats.org/spreadsheetml/2006/main" count="346" uniqueCount="28">
  <si>
    <t>Date</t>
  </si>
  <si>
    <t>Region</t>
  </si>
  <si>
    <t>Product</t>
  </si>
  <si>
    <t>Sales</t>
  </si>
  <si>
    <t>Quantity</t>
  </si>
  <si>
    <t>West</t>
  </si>
  <si>
    <t>Mangoes</t>
  </si>
  <si>
    <t>South</t>
  </si>
  <si>
    <t>Oranges</t>
  </si>
  <si>
    <t>Apples</t>
  </si>
  <si>
    <t>East</t>
  </si>
  <si>
    <t>North</t>
  </si>
  <si>
    <t>Column Labels</t>
  </si>
  <si>
    <t>Grand Total</t>
  </si>
  <si>
    <t>Row Labels</t>
  </si>
  <si>
    <t>Sum of Sales</t>
  </si>
  <si>
    <t>Jan</t>
  </si>
  <si>
    <t>Feb</t>
  </si>
  <si>
    <t>Mar</t>
  </si>
  <si>
    <t>Apr</t>
  </si>
  <si>
    <t>May</t>
  </si>
  <si>
    <t>Jun</t>
  </si>
  <si>
    <t>Sum of Quantity</t>
  </si>
  <si>
    <t>avg sale in month</t>
  </si>
  <si>
    <t>Sum of avg sale in month</t>
  </si>
  <si>
    <t>Total SALES QTY in month</t>
  </si>
  <si>
    <t>COMBINE</t>
  </si>
  <si>
    <t>FRUITS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</si>
</sst>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theme="1"/>
      <name val="Calibri"/>
      <family val="2"/>
    </font>
    <font>
      <sz val="11"/>
      <color theme="1"/>
      <name val="Calibri"/>
      <family val="2"/>
    </font>
  </fonts>
  <fills count="2">
    <fill>
      <patternFill patternType="none"/>
    </fill>
    <fill>
      <patternFill patternType="gray125"/>
    </fill>
  </fills>
  <borders count="9">
    <border>
      <left/>
      <right/>
      <top/>
      <bottom/>
      <diagonal/>
    </border>
    <border>
      <left style="medium">
        <color rgb="FF000000"/>
      </left>
      <right style="medium">
        <color rgb="FF000000"/>
      </right>
      <top style="medium">
        <color rgb="FF000000"/>
      </top>
      <bottom style="medium">
        <color rgb="FF000000"/>
      </bottom>
      <diagonal/>
    </border>
    <border>
      <left style="medium">
        <color rgb="FFCCCCCC"/>
      </left>
      <right style="medium">
        <color rgb="FF000000"/>
      </right>
      <top style="medium">
        <color rgb="FF000000"/>
      </top>
      <bottom style="medium">
        <color rgb="FF000000"/>
      </bottom>
      <diagonal/>
    </border>
    <border>
      <left style="medium">
        <color rgb="FFCCCCCC"/>
      </left>
      <right style="medium">
        <color rgb="FFCCCCCC"/>
      </right>
      <top style="medium">
        <color rgb="FFCCCCCC"/>
      </top>
      <bottom style="medium">
        <color rgb="FFCCCCCC"/>
      </bottom>
      <diagonal/>
    </border>
    <border>
      <left style="thin">
        <color indexed="64"/>
      </left>
      <right style="thin">
        <color indexed="64"/>
      </right>
      <top style="thin">
        <color indexed="64"/>
      </top>
      <bottom style="thin">
        <color indexed="64"/>
      </bottom>
      <diagonal/>
    </border>
    <border>
      <left style="medium">
        <color rgb="FFCCCCCC"/>
      </left>
      <right/>
      <top style="medium">
        <color rgb="FFCCCCCC"/>
      </top>
      <bottom style="medium">
        <color rgb="FFCCCCCC"/>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1">
    <xf numFmtId="0" fontId="0" fillId="0" borderId="0"/>
  </cellStyleXfs>
  <cellXfs count="23">
    <xf numFmtId="0" fontId="0" fillId="0" borderId="0" xfId="0"/>
    <xf numFmtId="0" fontId="1" fillId="0" borderId="1" xfId="0" applyFont="1" applyBorder="1" applyAlignment="1">
      <alignment horizontal="center" vertical="top" wrapText="1"/>
    </xf>
    <xf numFmtId="0" fontId="1" fillId="0" borderId="2" xfId="0" applyFont="1" applyBorder="1" applyAlignment="1">
      <alignment horizontal="center" vertical="top" wrapText="1"/>
    </xf>
    <xf numFmtId="22" fontId="2" fillId="0" borderId="3" xfId="0" applyNumberFormat="1" applyFont="1" applyBorder="1" applyAlignment="1">
      <alignment horizontal="right" wrapText="1"/>
    </xf>
    <xf numFmtId="0" fontId="2" fillId="0" borderId="3" xfId="0" applyFont="1" applyBorder="1" applyAlignment="1">
      <alignment wrapText="1"/>
    </xf>
    <xf numFmtId="0" fontId="2" fillId="0" borderId="3" xfId="0" applyFont="1" applyBorder="1" applyAlignment="1">
      <alignment horizontal="right" wrapText="1"/>
    </xf>
    <xf numFmtId="0" fontId="0" fillId="0" borderId="0" xfId="0" pivotButton="1"/>
    <xf numFmtId="0" fontId="0" fillId="0" borderId="0" xfId="0" applyAlignment="1">
      <alignment horizontal="left"/>
    </xf>
    <xf numFmtId="0" fontId="0" fillId="0" borderId="0" xfId="0" applyNumberFormat="1"/>
    <xf numFmtId="0" fontId="0" fillId="0" borderId="4" xfId="0" pivotButton="1" applyBorder="1"/>
    <xf numFmtId="0" fontId="0" fillId="0" borderId="4" xfId="0" applyBorder="1"/>
    <xf numFmtId="0" fontId="0" fillId="0" borderId="4" xfId="0" applyBorder="1" applyAlignment="1">
      <alignment horizontal="left"/>
    </xf>
    <xf numFmtId="0" fontId="0" fillId="0" borderId="4" xfId="0" applyNumberFormat="1" applyBorder="1"/>
    <xf numFmtId="0" fontId="2" fillId="0" borderId="5" xfId="0" applyFont="1" applyBorder="1" applyAlignment="1">
      <alignment horizontal="right" wrapText="1"/>
    </xf>
    <xf numFmtId="0" fontId="1" fillId="0" borderId="4" xfId="0" applyFont="1" applyBorder="1" applyAlignment="1">
      <alignment horizontal="center" vertical="top" wrapText="1"/>
    </xf>
    <xf numFmtId="0" fontId="1" fillId="0" borderId="4" xfId="0" applyFont="1" applyFill="1" applyBorder="1" applyAlignment="1">
      <alignment horizontal="center" vertical="top" wrapText="1"/>
    </xf>
    <xf numFmtId="22" fontId="2" fillId="0" borderId="4" xfId="0" applyNumberFormat="1" applyFont="1" applyBorder="1" applyAlignment="1">
      <alignment horizontal="right" wrapText="1"/>
    </xf>
    <xf numFmtId="0" fontId="2" fillId="0" borderId="4" xfId="0" applyFont="1" applyBorder="1" applyAlignment="1">
      <alignment wrapText="1"/>
    </xf>
    <xf numFmtId="0" fontId="2" fillId="0" borderId="4" xfId="0" applyFont="1" applyBorder="1" applyAlignment="1">
      <alignment horizontal="right" wrapText="1"/>
    </xf>
    <xf numFmtId="0" fontId="1" fillId="0" borderId="6" xfId="0" applyFont="1" applyFill="1" applyBorder="1" applyAlignment="1">
      <alignment horizontal="center" vertical="top" wrapText="1"/>
    </xf>
    <xf numFmtId="0" fontId="0" fillId="0" borderId="7" xfId="0" applyBorder="1" applyAlignment="1">
      <alignment horizontal="center"/>
    </xf>
    <xf numFmtId="0" fontId="0" fillId="0" borderId="6" xfId="0" applyBorder="1" applyAlignment="1">
      <alignment horizontal="center"/>
    </xf>
    <xf numFmtId="0" fontId="0" fillId="0" borderId="8" xfId="0" applyBorder="1" applyAlignment="1">
      <alignment horizontal="center"/>
    </xf>
  </cellXfs>
  <cellStyles count="1">
    <cellStyle name="Normal" xfId="0" builtinId="0"/>
  </cellStyles>
  <dxfs count="26">
    <dxf>
      <font>
        <color rgb="FF9C0006"/>
      </font>
      <fill>
        <patternFill>
          <bgColor rgb="FFFFC7CE"/>
        </patternFill>
      </fill>
    </dxf>
    <dxf>
      <font>
        <color rgb="FF9C0006"/>
      </font>
      <fill>
        <patternFill>
          <bgColor rgb="FFFFC7CE"/>
        </patternFill>
      </fill>
    </dxf>
    <dxf>
      <font>
        <color rgb="FF9C0006"/>
      </font>
      <fill>
        <patternFill>
          <bgColor rgb="FFFFC7CE"/>
        </patternFill>
      </fill>
    </dxf>
    <dxf>
      <border>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4.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pivotCacheDefinition" Target="pivotCache/pivotCacheDefinition3.xml"/><Relationship Id="rId17" Type="http://schemas.microsoft.com/office/2007/relationships/slicerCache" Target="slicerCaches/slicerCache2.xml"/><Relationship Id="rId2" Type="http://schemas.openxmlformats.org/officeDocument/2006/relationships/worksheet" Target="worksheets/sheet2.xml"/><Relationship Id="rId16" Type="http://schemas.microsoft.com/office/2007/relationships/slicerCache" Target="slicerCaches/slicerCache1.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5" Type="http://schemas.openxmlformats.org/officeDocument/2006/relationships/worksheet" Target="worksheets/sheet5.xml"/><Relationship Id="rId15" Type="http://schemas.openxmlformats.org/officeDocument/2006/relationships/pivotCacheDefinition" Target="pivotCache/pivotCacheDefinition6.xml"/><Relationship Id="rId10" Type="http://schemas.openxmlformats.org/officeDocument/2006/relationships/pivotCacheDefinition" Target="pivotCache/pivotCacheDefinition1.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 &amp; Charts assignment.xlsx]Sheet9!PivotTable4</c:name>
    <c:fmtId val="7"/>
  </c:pivotSource>
  <c:chart>
    <c:autoTitleDeleted val="1"/>
    <c:pivotFmts>
      <c:pivotFmt>
        <c:idx val="0"/>
        <c:spPr>
          <a:ln w="34925" cap="rnd">
            <a:solidFill>
              <a:schemeClr val="lt1"/>
            </a:solidFill>
            <a:round/>
          </a:ln>
          <a:effectLst>
            <a:outerShdw dist="25400" dir="2700000" algn="tl" rotWithShape="0">
              <a:schemeClr val="accent1"/>
            </a:outerShdw>
          </a:effectLst>
        </c:spPr>
        <c:marker>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ln w="34925" cap="rnd">
            <a:solidFill>
              <a:schemeClr val="lt1"/>
            </a:solidFill>
            <a:round/>
          </a:ln>
          <a:effectLst>
            <a:outerShdw dist="25400" dir="2700000" algn="tl" rotWithShape="0">
              <a:schemeClr val="accent1"/>
            </a:outerShdw>
          </a:effectLst>
        </c:spPr>
        <c:marker>
          <c:spPr>
            <a:solidFill>
              <a:schemeClr val="accent1"/>
            </a:solidFill>
            <a:ln w="22225">
              <a:solidFill>
                <a:schemeClr val="lt1"/>
              </a:solidFill>
              <a:round/>
            </a:ln>
            <a:effectLst/>
          </c:spPr>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
        <c:spPr>
          <a:ln w="34925" cap="rnd">
            <a:solidFill>
              <a:schemeClr val="lt1"/>
            </a:solidFill>
            <a:round/>
          </a:ln>
          <a:effectLst>
            <a:outerShdw dist="25400" dir="2700000" algn="tl" rotWithShape="0">
              <a:schemeClr val="accent1"/>
            </a:outerShdw>
          </a:effectLst>
        </c:spPr>
        <c:marker>
          <c:spPr>
            <a:solidFill>
              <a:schemeClr val="accent1"/>
            </a:solidFill>
            <a:ln w="22225">
              <a:solidFill>
                <a:schemeClr val="lt1"/>
              </a:solidFill>
              <a:round/>
            </a:ln>
            <a:effectLst/>
          </c:spPr>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
        <c:spPr>
          <a:ln w="34925" cap="rnd">
            <a:solidFill>
              <a:schemeClr val="lt1"/>
            </a:solidFill>
            <a:round/>
          </a:ln>
          <a:effectLst>
            <a:outerShdw dist="25400" dir="2700000" algn="tl" rotWithShape="0">
              <a:schemeClr val="accent1"/>
            </a:outerShdw>
          </a:effectLst>
        </c:spPr>
        <c:marker>
          <c:spPr>
            <a:solidFill>
              <a:schemeClr val="accent1"/>
            </a:solidFill>
            <a:ln w="22225">
              <a:solidFill>
                <a:schemeClr val="lt1"/>
              </a:solidFill>
              <a:round/>
            </a:ln>
            <a:effectLst/>
          </c:spPr>
        </c:marker>
        <c:dLbl>
          <c:idx val="0"/>
          <c:showLegendKey val="0"/>
          <c:showVal val="1"/>
          <c:showCatName val="0"/>
          <c:showSerName val="0"/>
          <c:showPercent val="0"/>
          <c:showBubbleSize val="0"/>
          <c:extLst>
            <c:ext xmlns:c15="http://schemas.microsoft.com/office/drawing/2012/chart" uri="{CE6537A1-D6FC-4f65-9D91-7224C49458BB}"/>
          </c:extLst>
        </c:dLbl>
      </c:pivotFmt>
      <c:pivotFmt>
        <c:idx val="4"/>
        <c:spPr>
          <a:ln w="34925" cap="rnd">
            <a:solidFill>
              <a:schemeClr val="lt1"/>
            </a:solidFill>
            <a:round/>
          </a:ln>
          <a:effectLst>
            <a:outerShdw dist="25400" dir="2700000" algn="tl" rotWithShape="0">
              <a:schemeClr val="accent1"/>
            </a:outerShdw>
          </a:effectLst>
        </c:spPr>
        <c:marker>
          <c:spPr>
            <a:solidFill>
              <a:schemeClr val="accent1"/>
            </a:solidFill>
            <a:ln w="22225">
              <a:solidFill>
                <a:schemeClr val="lt1"/>
              </a:solidFill>
              <a:round/>
            </a:ln>
            <a:effectLst/>
          </c:spPr>
        </c:marker>
        <c:dLbl>
          <c:idx val="0"/>
          <c:showLegendKey val="0"/>
          <c:showVal val="1"/>
          <c:showCatName val="0"/>
          <c:showSerName val="0"/>
          <c:showPercent val="0"/>
          <c:showBubbleSize val="0"/>
          <c:extLst>
            <c:ext xmlns:c15="http://schemas.microsoft.com/office/drawing/2012/chart" uri="{CE6537A1-D6FC-4f65-9D91-7224C49458BB}"/>
          </c:extLst>
        </c:dLbl>
      </c:pivotFmt>
      <c:pivotFmt>
        <c:idx val="5"/>
        <c:spPr>
          <a:ln w="34925" cap="rnd">
            <a:solidFill>
              <a:schemeClr val="lt1"/>
            </a:solidFill>
            <a:round/>
          </a:ln>
          <a:effectLst>
            <a:outerShdw dist="25400" dir="2700000" algn="tl" rotWithShape="0">
              <a:schemeClr val="accent1"/>
            </a:outerShdw>
          </a:effectLst>
        </c:spPr>
        <c:marker>
          <c:spPr>
            <a:solidFill>
              <a:schemeClr val="accent1"/>
            </a:solidFill>
            <a:ln w="22225">
              <a:solidFill>
                <a:schemeClr val="lt1"/>
              </a:solidFill>
              <a:round/>
            </a:ln>
            <a:effectLst/>
          </c:spPr>
        </c:marker>
        <c:dLbl>
          <c:idx val="0"/>
          <c:showLegendKey val="0"/>
          <c:showVal val="1"/>
          <c:showCatName val="0"/>
          <c:showSerName val="0"/>
          <c:showPercent val="0"/>
          <c:showBubbleSize val="0"/>
          <c:extLst>
            <c:ext xmlns:c15="http://schemas.microsoft.com/office/drawing/2012/chart" uri="{CE6537A1-D6FC-4f65-9D91-7224C49458BB}"/>
          </c:extLst>
        </c:dLbl>
      </c:pivotFmt>
      <c:pivotFmt>
        <c:idx val="6"/>
        <c:spPr>
          <a:ln w="34925" cap="rnd">
            <a:solidFill>
              <a:schemeClr val="lt1"/>
            </a:solidFill>
            <a:round/>
          </a:ln>
          <a:effectLst>
            <a:outerShdw dist="25400" dir="2700000" algn="tl" rotWithShape="0">
              <a:schemeClr val="accent1"/>
            </a:outerShdw>
          </a:effectLst>
        </c:spPr>
        <c:marker>
          <c:spPr>
            <a:solidFill>
              <a:schemeClr val="accent1"/>
            </a:solidFill>
            <a:ln w="22225">
              <a:solidFill>
                <a:schemeClr val="lt1"/>
              </a:solidFill>
              <a:round/>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7"/>
        <c:spPr>
          <a:ln w="34925" cap="rnd">
            <a:solidFill>
              <a:schemeClr val="lt1"/>
            </a:solidFill>
            <a:round/>
          </a:ln>
          <a:effectLst>
            <a:outerShdw dist="25400" dir="2700000" algn="tl" rotWithShape="0">
              <a:schemeClr val="accent1"/>
            </a:outerShdw>
          </a:effectLst>
        </c:spPr>
        <c:marker>
          <c:spPr>
            <a:solidFill>
              <a:schemeClr val="accent1"/>
            </a:solidFill>
            <a:ln w="22225">
              <a:solidFill>
                <a:schemeClr val="lt1"/>
              </a:solidFill>
              <a:round/>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8"/>
        <c:spPr>
          <a:ln w="34925" cap="rnd">
            <a:solidFill>
              <a:schemeClr val="lt1"/>
            </a:solidFill>
            <a:round/>
          </a:ln>
          <a:effectLst>
            <a:outerShdw dist="25400" dir="2700000" algn="tl" rotWithShape="0">
              <a:schemeClr val="accent1"/>
            </a:outerShdw>
          </a:effectLst>
        </c:spPr>
        <c:marker>
          <c:spPr>
            <a:solidFill>
              <a:schemeClr val="accent1"/>
            </a:solidFill>
            <a:ln w="22225">
              <a:solidFill>
                <a:schemeClr val="lt1"/>
              </a:solidFill>
              <a:round/>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9"/>
        <c:spPr>
          <a:ln w="34925" cap="rnd">
            <a:solidFill>
              <a:schemeClr val="lt1"/>
            </a:solidFill>
            <a:round/>
          </a:ln>
          <a:effectLst>
            <a:outerShdw dist="25400" dir="2700000" algn="tl" rotWithShape="0">
              <a:schemeClr val="accent1"/>
            </a:outerShdw>
          </a:effectLst>
        </c:spPr>
        <c:marker>
          <c:spPr>
            <a:solidFill>
              <a:schemeClr val="accent1"/>
            </a:solidFill>
            <a:ln w="22225">
              <a:solidFill>
                <a:schemeClr val="lt1"/>
              </a:solidFill>
              <a:round/>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0"/>
        <c:spPr>
          <a:ln w="34925" cap="rnd">
            <a:solidFill>
              <a:schemeClr val="lt1"/>
            </a:solidFill>
            <a:round/>
          </a:ln>
          <a:effectLst>
            <a:outerShdw dist="25400" dir="2700000" algn="tl" rotWithShape="0">
              <a:schemeClr val="accent1"/>
            </a:outerShdw>
          </a:effectLst>
        </c:spPr>
        <c:marker>
          <c:spPr>
            <a:solidFill>
              <a:schemeClr val="accent1"/>
            </a:solidFill>
            <a:ln w="22225">
              <a:solidFill>
                <a:schemeClr val="lt1"/>
              </a:solidFill>
              <a:round/>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1"/>
        <c:spPr>
          <a:ln w="34925" cap="rnd">
            <a:solidFill>
              <a:schemeClr val="lt1"/>
            </a:solidFill>
            <a:round/>
          </a:ln>
          <a:effectLst>
            <a:outerShdw dist="25400" dir="2700000" algn="tl" rotWithShape="0">
              <a:schemeClr val="accent1"/>
            </a:outerShdw>
          </a:effectLst>
        </c:spPr>
        <c:marker>
          <c:symbol val="circle"/>
          <c:size val="5"/>
          <c:spPr>
            <a:solidFill>
              <a:schemeClr val="accent2"/>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2"/>
        <c:spPr>
          <a:ln w="34925" cap="rnd">
            <a:solidFill>
              <a:schemeClr val="lt1"/>
            </a:solidFill>
            <a:round/>
          </a:ln>
          <a:effectLst>
            <a:outerShdw dist="25400" dir="2700000" algn="tl" rotWithShape="0">
              <a:schemeClr val="accent1"/>
            </a:outerShdw>
          </a:effectLst>
        </c:spPr>
        <c:marker>
          <c:symbol val="circle"/>
          <c:size val="5"/>
          <c:spPr>
            <a:solidFill>
              <a:schemeClr val="accent3"/>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3"/>
        <c:spPr>
          <a:ln w="34925" cap="rnd">
            <a:solidFill>
              <a:schemeClr val="lt1"/>
            </a:solidFill>
            <a:round/>
          </a:ln>
          <a:effectLst>
            <a:outerShdw dist="25400" dir="2700000" algn="tl" rotWithShape="0">
              <a:schemeClr val="accent1"/>
            </a:outerShdw>
          </a:effectLst>
        </c:spPr>
        <c:marker>
          <c:symbol val="circle"/>
          <c:size val="5"/>
          <c:spPr>
            <a:solidFill>
              <a:schemeClr val="accent4"/>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4"/>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273130374832181"/>
          <c:y val="0.24476633129192185"/>
          <c:w val="0.61718494865561158"/>
          <c:h val="0.53811424613589964"/>
        </c:manualLayout>
      </c:layout>
      <c:lineChart>
        <c:grouping val="standard"/>
        <c:varyColors val="0"/>
        <c:ser>
          <c:idx val="0"/>
          <c:order val="0"/>
          <c:tx>
            <c:strRef>
              <c:f>Sheet9!$B$3:$B$4</c:f>
              <c:strCache>
                <c:ptCount val="1"/>
                <c:pt idx="0">
                  <c:v>East</c:v>
                </c:pt>
              </c:strCache>
            </c:strRef>
          </c:tx>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Sheet9!$A$5:$A$11</c:f>
              <c:strCache>
                <c:ptCount val="6"/>
                <c:pt idx="0">
                  <c:v>Jan</c:v>
                </c:pt>
                <c:pt idx="1">
                  <c:v>Feb</c:v>
                </c:pt>
                <c:pt idx="2">
                  <c:v>Mar</c:v>
                </c:pt>
                <c:pt idx="3">
                  <c:v>Apr</c:v>
                </c:pt>
                <c:pt idx="4">
                  <c:v>May</c:v>
                </c:pt>
                <c:pt idx="5">
                  <c:v>Jun</c:v>
                </c:pt>
              </c:strCache>
            </c:strRef>
          </c:cat>
          <c:val>
            <c:numRef>
              <c:f>Sheet9!$B$5:$B$11</c:f>
              <c:numCache>
                <c:formatCode>General</c:formatCode>
                <c:ptCount val="6"/>
                <c:pt idx="3">
                  <c:v>467</c:v>
                </c:pt>
              </c:numCache>
            </c:numRef>
          </c:val>
          <c:smooth val="0"/>
          <c:extLst>
            <c:ext xmlns:c16="http://schemas.microsoft.com/office/drawing/2014/chart" uri="{C3380CC4-5D6E-409C-BE32-E72D297353CC}">
              <c16:uniqueId val="{00000000-66B4-4A22-AE86-AEF8CAAA3D6E}"/>
            </c:ext>
          </c:extLst>
        </c:ser>
        <c:ser>
          <c:idx val="1"/>
          <c:order val="1"/>
          <c:tx>
            <c:strRef>
              <c:f>Sheet9!$C$3:$C$4</c:f>
              <c:strCache>
                <c:ptCount val="1"/>
                <c:pt idx="0">
                  <c:v>North</c:v>
                </c:pt>
              </c:strCache>
            </c:strRef>
          </c:tx>
          <c:spPr>
            <a:ln w="34925" cap="rnd">
              <a:solidFill>
                <a:schemeClr val="lt1"/>
              </a:solidFill>
              <a:round/>
            </a:ln>
            <a:effectLst>
              <a:outerShdw dist="25400" dir="2700000" algn="tl" rotWithShape="0">
                <a:schemeClr val="accent2"/>
              </a:outerShdw>
            </a:effectLst>
          </c:spPr>
          <c:marker>
            <c:symbol val="circle"/>
            <c:size val="5"/>
            <c:spPr>
              <a:solidFill>
                <a:schemeClr val="accent2"/>
              </a:solidFill>
              <a:ln w="22225">
                <a:solidFill>
                  <a:schemeClr val="lt1"/>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Sheet9!$A$5:$A$11</c:f>
              <c:strCache>
                <c:ptCount val="6"/>
                <c:pt idx="0">
                  <c:v>Jan</c:v>
                </c:pt>
                <c:pt idx="1">
                  <c:v>Feb</c:v>
                </c:pt>
                <c:pt idx="2">
                  <c:v>Mar</c:v>
                </c:pt>
                <c:pt idx="3">
                  <c:v>Apr</c:v>
                </c:pt>
                <c:pt idx="4">
                  <c:v>May</c:v>
                </c:pt>
                <c:pt idx="5">
                  <c:v>Jun</c:v>
                </c:pt>
              </c:strCache>
            </c:strRef>
          </c:cat>
          <c:val>
            <c:numRef>
              <c:f>Sheet9!$C$5:$C$11</c:f>
              <c:numCache>
                <c:formatCode>General</c:formatCode>
                <c:ptCount val="6"/>
                <c:pt idx="5">
                  <c:v>347</c:v>
                </c:pt>
              </c:numCache>
            </c:numRef>
          </c:val>
          <c:smooth val="0"/>
          <c:extLst>
            <c:ext xmlns:c16="http://schemas.microsoft.com/office/drawing/2014/chart" uri="{C3380CC4-5D6E-409C-BE32-E72D297353CC}">
              <c16:uniqueId val="{0000000C-66B4-4A22-AE86-AEF8CAAA3D6E}"/>
            </c:ext>
          </c:extLst>
        </c:ser>
        <c:ser>
          <c:idx val="2"/>
          <c:order val="2"/>
          <c:tx>
            <c:strRef>
              <c:f>Sheet9!$D$3:$D$4</c:f>
              <c:strCache>
                <c:ptCount val="1"/>
                <c:pt idx="0">
                  <c:v>South</c:v>
                </c:pt>
              </c:strCache>
            </c:strRef>
          </c:tx>
          <c:spPr>
            <a:ln w="34925" cap="rnd">
              <a:solidFill>
                <a:schemeClr val="lt1"/>
              </a:solidFill>
              <a:round/>
            </a:ln>
            <a:effectLst>
              <a:outerShdw dist="25400" dir="2700000" algn="tl" rotWithShape="0">
                <a:schemeClr val="accent3"/>
              </a:outerShdw>
            </a:effectLst>
          </c:spPr>
          <c:marker>
            <c:symbol val="circle"/>
            <c:size val="5"/>
            <c:spPr>
              <a:solidFill>
                <a:schemeClr val="accent3"/>
              </a:solidFill>
              <a:ln w="22225">
                <a:solidFill>
                  <a:schemeClr val="lt1"/>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Sheet9!$A$5:$A$11</c:f>
              <c:strCache>
                <c:ptCount val="6"/>
                <c:pt idx="0">
                  <c:v>Jan</c:v>
                </c:pt>
                <c:pt idx="1">
                  <c:v>Feb</c:v>
                </c:pt>
                <c:pt idx="2">
                  <c:v>Mar</c:v>
                </c:pt>
                <c:pt idx="3">
                  <c:v>Apr</c:v>
                </c:pt>
                <c:pt idx="4">
                  <c:v>May</c:v>
                </c:pt>
                <c:pt idx="5">
                  <c:v>Jun</c:v>
                </c:pt>
              </c:strCache>
            </c:strRef>
          </c:cat>
          <c:val>
            <c:numRef>
              <c:f>Sheet9!$D$5:$D$11</c:f>
              <c:numCache>
                <c:formatCode>General</c:formatCode>
                <c:ptCount val="6"/>
                <c:pt idx="0">
                  <c:v>595</c:v>
                </c:pt>
                <c:pt idx="2">
                  <c:v>76</c:v>
                </c:pt>
                <c:pt idx="3">
                  <c:v>205</c:v>
                </c:pt>
                <c:pt idx="4">
                  <c:v>906</c:v>
                </c:pt>
              </c:numCache>
            </c:numRef>
          </c:val>
          <c:smooth val="0"/>
          <c:extLst>
            <c:ext xmlns:c16="http://schemas.microsoft.com/office/drawing/2014/chart" uri="{C3380CC4-5D6E-409C-BE32-E72D297353CC}">
              <c16:uniqueId val="{0000000D-66B4-4A22-AE86-AEF8CAAA3D6E}"/>
            </c:ext>
          </c:extLst>
        </c:ser>
        <c:ser>
          <c:idx val="3"/>
          <c:order val="3"/>
          <c:tx>
            <c:strRef>
              <c:f>Sheet9!$E$3:$E$4</c:f>
              <c:strCache>
                <c:ptCount val="1"/>
                <c:pt idx="0">
                  <c:v>West</c:v>
                </c:pt>
              </c:strCache>
            </c:strRef>
          </c:tx>
          <c:spPr>
            <a:ln w="34925" cap="rnd">
              <a:solidFill>
                <a:schemeClr val="lt1"/>
              </a:solidFill>
              <a:round/>
            </a:ln>
            <a:effectLst>
              <a:outerShdw dist="25400" dir="2700000" algn="tl" rotWithShape="0">
                <a:schemeClr val="accent4"/>
              </a:outerShdw>
            </a:effectLst>
          </c:spPr>
          <c:marker>
            <c:symbol val="circle"/>
            <c:size val="5"/>
            <c:spPr>
              <a:solidFill>
                <a:schemeClr val="accent4"/>
              </a:solidFill>
              <a:ln w="22225">
                <a:solidFill>
                  <a:schemeClr val="lt1"/>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Sheet9!$A$5:$A$11</c:f>
              <c:strCache>
                <c:ptCount val="6"/>
                <c:pt idx="0">
                  <c:v>Jan</c:v>
                </c:pt>
                <c:pt idx="1">
                  <c:v>Feb</c:v>
                </c:pt>
                <c:pt idx="2">
                  <c:v>Mar</c:v>
                </c:pt>
                <c:pt idx="3">
                  <c:v>Apr</c:v>
                </c:pt>
                <c:pt idx="4">
                  <c:v>May</c:v>
                </c:pt>
                <c:pt idx="5">
                  <c:v>Jun</c:v>
                </c:pt>
              </c:strCache>
            </c:strRef>
          </c:cat>
          <c:val>
            <c:numRef>
              <c:f>Sheet9!$E$5:$E$11</c:f>
              <c:numCache>
                <c:formatCode>General</c:formatCode>
                <c:ptCount val="6"/>
                <c:pt idx="0">
                  <c:v>456</c:v>
                </c:pt>
                <c:pt idx="1">
                  <c:v>615</c:v>
                </c:pt>
                <c:pt idx="2">
                  <c:v>441</c:v>
                </c:pt>
                <c:pt idx="3">
                  <c:v>483</c:v>
                </c:pt>
                <c:pt idx="4">
                  <c:v>380</c:v>
                </c:pt>
                <c:pt idx="5">
                  <c:v>53</c:v>
                </c:pt>
              </c:numCache>
            </c:numRef>
          </c:val>
          <c:smooth val="0"/>
          <c:extLst>
            <c:ext xmlns:c16="http://schemas.microsoft.com/office/drawing/2014/chart" uri="{C3380CC4-5D6E-409C-BE32-E72D297353CC}">
              <c16:uniqueId val="{0000000E-66B4-4A22-AE86-AEF8CAAA3D6E}"/>
            </c:ext>
          </c:extLst>
        </c:ser>
        <c:dLbls>
          <c:dLblPos val="t"/>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1126532847"/>
        <c:axId val="1126527087"/>
      </c:lineChart>
      <c:catAx>
        <c:axId val="1126532847"/>
        <c:scaling>
          <c:orientation val="minMax"/>
        </c:scaling>
        <c:delete val="0"/>
        <c:axPos val="b"/>
        <c:numFmt formatCode="General" sourceLinked="1"/>
        <c:majorTickMark val="out"/>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1126527087"/>
        <c:crosses val="autoZero"/>
        <c:auto val="1"/>
        <c:lblAlgn val="ctr"/>
        <c:lblOffset val="100"/>
        <c:noMultiLvlLbl val="0"/>
      </c:catAx>
      <c:valAx>
        <c:axId val="1126527087"/>
        <c:scaling>
          <c:orientation val="minMax"/>
        </c:scaling>
        <c:delete val="0"/>
        <c:axPos val="l"/>
        <c:majorGridlines>
          <c:spPr>
            <a:ln w="9525" cap="flat" cmpd="sng" algn="ctr">
              <a:solidFill>
                <a:schemeClr val="lt1">
                  <a:alpha val="2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12653284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 &amp; Charts assignment.xlsx]Sheet9!PivotTable4</c:name>
    <c:fmtId val="10"/>
  </c:pivotSource>
  <c:chart>
    <c:autoTitleDeleted val="1"/>
    <c:pivotFmts>
      <c:pivotFmt>
        <c:idx val="0"/>
        <c:spPr>
          <a:solidFill>
            <a:schemeClr val="accent1"/>
          </a:solidFill>
          <a:ln>
            <a:noFill/>
          </a:ln>
          <a:effectLst/>
        </c:spPr>
        <c:marker>
          <c:spPr>
            <a:solidFill>
              <a:schemeClr val="accent1"/>
            </a:solidFill>
            <a:ln w="9525">
              <a:solidFill>
                <a:schemeClr val="accent1"/>
              </a:solidFill>
            </a:ln>
            <a:effectLst/>
          </c:spPr>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pivotFmt>
      <c:pivotFmt>
        <c:idx val="4"/>
      </c:pivotFmt>
      <c:pivotFmt>
        <c:idx val="5"/>
      </c:pivotFmt>
      <c:pivotFmt>
        <c:idx val="6"/>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Sheet9!$B$3:$B$4</c:f>
              <c:strCache>
                <c:ptCount val="1"/>
                <c:pt idx="0">
                  <c:v>East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Sheet9!$A$5:$A$11</c:f>
              <c:strCache>
                <c:ptCount val="6"/>
                <c:pt idx="0">
                  <c:v>Jan</c:v>
                </c:pt>
                <c:pt idx="1">
                  <c:v>Feb</c:v>
                </c:pt>
                <c:pt idx="2">
                  <c:v>Mar</c:v>
                </c:pt>
                <c:pt idx="3">
                  <c:v>Apr</c:v>
                </c:pt>
                <c:pt idx="4">
                  <c:v>May</c:v>
                </c:pt>
                <c:pt idx="5">
                  <c:v>Jun</c:v>
                </c:pt>
              </c:strCache>
            </c:strRef>
          </c:cat>
          <c:val>
            <c:numRef>
              <c:f>Sheet9!$B$5:$B$11</c:f>
              <c:numCache>
                <c:formatCode>General</c:formatCode>
                <c:ptCount val="6"/>
                <c:pt idx="3">
                  <c:v>467</c:v>
                </c:pt>
              </c:numCache>
            </c:numRef>
          </c:val>
          <c:extLst>
            <c:ext xmlns:c16="http://schemas.microsoft.com/office/drawing/2014/chart" uri="{C3380CC4-5D6E-409C-BE32-E72D297353CC}">
              <c16:uniqueId val="{00000000-91E2-41F8-9246-67EA36C671A5}"/>
            </c:ext>
          </c:extLst>
        </c:ser>
        <c:ser>
          <c:idx val="1"/>
          <c:order val="1"/>
          <c:tx>
            <c:strRef>
              <c:f>Sheet9!$C$3:$C$4</c:f>
              <c:strCache>
                <c:ptCount val="1"/>
                <c:pt idx="0">
                  <c:v>North</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Sheet9!$A$5:$A$11</c:f>
              <c:strCache>
                <c:ptCount val="6"/>
                <c:pt idx="0">
                  <c:v>Jan</c:v>
                </c:pt>
                <c:pt idx="1">
                  <c:v>Feb</c:v>
                </c:pt>
                <c:pt idx="2">
                  <c:v>Mar</c:v>
                </c:pt>
                <c:pt idx="3">
                  <c:v>Apr</c:v>
                </c:pt>
                <c:pt idx="4">
                  <c:v>May</c:v>
                </c:pt>
                <c:pt idx="5">
                  <c:v>Jun</c:v>
                </c:pt>
              </c:strCache>
            </c:strRef>
          </c:cat>
          <c:val>
            <c:numRef>
              <c:f>Sheet9!$C$5:$C$11</c:f>
              <c:numCache>
                <c:formatCode>General</c:formatCode>
                <c:ptCount val="6"/>
                <c:pt idx="5">
                  <c:v>347</c:v>
                </c:pt>
              </c:numCache>
            </c:numRef>
          </c:val>
          <c:extLst>
            <c:ext xmlns:c16="http://schemas.microsoft.com/office/drawing/2014/chart" uri="{C3380CC4-5D6E-409C-BE32-E72D297353CC}">
              <c16:uniqueId val="{00000007-91E2-41F8-9246-67EA36C671A5}"/>
            </c:ext>
          </c:extLst>
        </c:ser>
        <c:ser>
          <c:idx val="2"/>
          <c:order val="2"/>
          <c:tx>
            <c:strRef>
              <c:f>Sheet9!$D$3:$D$4</c:f>
              <c:strCache>
                <c:ptCount val="1"/>
                <c:pt idx="0">
                  <c:v>South</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Sheet9!$A$5:$A$11</c:f>
              <c:strCache>
                <c:ptCount val="6"/>
                <c:pt idx="0">
                  <c:v>Jan</c:v>
                </c:pt>
                <c:pt idx="1">
                  <c:v>Feb</c:v>
                </c:pt>
                <c:pt idx="2">
                  <c:v>Mar</c:v>
                </c:pt>
                <c:pt idx="3">
                  <c:v>Apr</c:v>
                </c:pt>
                <c:pt idx="4">
                  <c:v>May</c:v>
                </c:pt>
                <c:pt idx="5">
                  <c:v>Jun</c:v>
                </c:pt>
              </c:strCache>
            </c:strRef>
          </c:cat>
          <c:val>
            <c:numRef>
              <c:f>Sheet9!$D$5:$D$11</c:f>
              <c:numCache>
                <c:formatCode>General</c:formatCode>
                <c:ptCount val="6"/>
                <c:pt idx="0">
                  <c:v>595</c:v>
                </c:pt>
                <c:pt idx="2">
                  <c:v>76</c:v>
                </c:pt>
                <c:pt idx="3">
                  <c:v>205</c:v>
                </c:pt>
                <c:pt idx="4">
                  <c:v>906</c:v>
                </c:pt>
              </c:numCache>
            </c:numRef>
          </c:val>
          <c:extLst>
            <c:ext xmlns:c16="http://schemas.microsoft.com/office/drawing/2014/chart" uri="{C3380CC4-5D6E-409C-BE32-E72D297353CC}">
              <c16:uniqueId val="{00000008-91E2-41F8-9246-67EA36C671A5}"/>
            </c:ext>
          </c:extLst>
        </c:ser>
        <c:ser>
          <c:idx val="3"/>
          <c:order val="3"/>
          <c:tx>
            <c:strRef>
              <c:f>Sheet9!$E$3:$E$4</c:f>
              <c:strCache>
                <c:ptCount val="1"/>
                <c:pt idx="0">
                  <c:v>West</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Sheet9!$A$5:$A$11</c:f>
              <c:strCache>
                <c:ptCount val="6"/>
                <c:pt idx="0">
                  <c:v>Jan</c:v>
                </c:pt>
                <c:pt idx="1">
                  <c:v>Feb</c:v>
                </c:pt>
                <c:pt idx="2">
                  <c:v>Mar</c:v>
                </c:pt>
                <c:pt idx="3">
                  <c:v>Apr</c:v>
                </c:pt>
                <c:pt idx="4">
                  <c:v>May</c:v>
                </c:pt>
                <c:pt idx="5">
                  <c:v>Jun</c:v>
                </c:pt>
              </c:strCache>
            </c:strRef>
          </c:cat>
          <c:val>
            <c:numRef>
              <c:f>Sheet9!$E$5:$E$11</c:f>
              <c:numCache>
                <c:formatCode>General</c:formatCode>
                <c:ptCount val="6"/>
                <c:pt idx="0">
                  <c:v>456</c:v>
                </c:pt>
                <c:pt idx="1">
                  <c:v>615</c:v>
                </c:pt>
                <c:pt idx="2">
                  <c:v>441</c:v>
                </c:pt>
                <c:pt idx="3">
                  <c:v>483</c:v>
                </c:pt>
                <c:pt idx="4">
                  <c:v>380</c:v>
                </c:pt>
                <c:pt idx="5">
                  <c:v>53</c:v>
                </c:pt>
              </c:numCache>
            </c:numRef>
          </c:val>
          <c:extLst>
            <c:ext xmlns:c16="http://schemas.microsoft.com/office/drawing/2014/chart" uri="{C3380CC4-5D6E-409C-BE32-E72D297353CC}">
              <c16:uniqueId val="{00000009-91E2-41F8-9246-67EA36C671A5}"/>
            </c:ext>
          </c:extLst>
        </c:ser>
        <c:dLbls>
          <c:dLblPos val="outEnd"/>
          <c:showLegendKey val="0"/>
          <c:showVal val="1"/>
          <c:showCatName val="0"/>
          <c:showSerName val="0"/>
          <c:showPercent val="0"/>
          <c:showBubbleSize val="0"/>
        </c:dLbls>
        <c:gapWidth val="219"/>
        <c:overlap val="-27"/>
        <c:axId val="1127283695"/>
        <c:axId val="1127277455"/>
      </c:barChart>
      <c:catAx>
        <c:axId val="1127283695"/>
        <c:scaling>
          <c:orientation val="minMax"/>
        </c:scaling>
        <c:delete val="1"/>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crossAx val="1127277455"/>
        <c:crosses val="autoZero"/>
        <c:auto val="1"/>
        <c:lblAlgn val="ctr"/>
        <c:lblOffset val="100"/>
        <c:noMultiLvlLbl val="0"/>
      </c:catAx>
      <c:valAx>
        <c:axId val="1127277455"/>
        <c:scaling>
          <c:orientation val="minMax"/>
        </c:scaling>
        <c:delete val="1"/>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crossAx val="11272836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 &amp; Charts assignment.xlsx]Sheet12!PivotTable13</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Sheet12!$I$3</c:f>
              <c:strCache>
                <c:ptCount val="1"/>
                <c:pt idx="0">
                  <c:v>Total</c:v>
                </c:pt>
              </c:strCache>
            </c:strRef>
          </c:tx>
          <c:spPr>
            <a:solidFill>
              <a:schemeClr val="accent1"/>
            </a:solidFill>
            <a:ln>
              <a:noFill/>
            </a:ln>
            <a:effectLst/>
          </c:spPr>
          <c:invertIfNegative val="0"/>
          <c:trendline>
            <c:spPr>
              <a:ln w="19050" cap="rnd">
                <a:solidFill>
                  <a:schemeClr val="accent1"/>
                </a:solidFill>
                <a:prstDash val="sysDot"/>
              </a:ln>
              <a:effectLst/>
            </c:spPr>
            <c:trendlineType val="linear"/>
            <c:dispRSqr val="0"/>
            <c:dispEq val="0"/>
          </c:trendline>
          <c:cat>
            <c:strRef>
              <c:f>Sheet12!$H$4:$H$6</c:f>
              <c:strCache>
                <c:ptCount val="2"/>
                <c:pt idx="0">
                  <c:v>FRUITS</c:v>
                </c:pt>
                <c:pt idx="1">
                  <c:v>Mangoes</c:v>
                </c:pt>
              </c:strCache>
            </c:strRef>
          </c:cat>
          <c:val>
            <c:numRef>
              <c:f>Sheet12!$I$4:$I$6</c:f>
              <c:numCache>
                <c:formatCode>General</c:formatCode>
                <c:ptCount val="2"/>
                <c:pt idx="0">
                  <c:v>4308</c:v>
                </c:pt>
                <c:pt idx="1">
                  <c:v>2521</c:v>
                </c:pt>
              </c:numCache>
            </c:numRef>
          </c:val>
          <c:extLst>
            <c:ext xmlns:c16="http://schemas.microsoft.com/office/drawing/2014/chart" uri="{C3380CC4-5D6E-409C-BE32-E72D297353CC}">
              <c16:uniqueId val="{00000000-5E53-4893-BD24-75824F4B6DE6}"/>
            </c:ext>
          </c:extLst>
        </c:ser>
        <c:dLbls>
          <c:showLegendKey val="0"/>
          <c:showVal val="0"/>
          <c:showCatName val="0"/>
          <c:showSerName val="0"/>
          <c:showPercent val="0"/>
          <c:showBubbleSize val="0"/>
        </c:dLbls>
        <c:gapWidth val="219"/>
        <c:overlap val="-27"/>
        <c:axId val="1127266415"/>
        <c:axId val="1127268335"/>
      </c:barChart>
      <c:catAx>
        <c:axId val="11272664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7268335"/>
        <c:crosses val="autoZero"/>
        <c:auto val="1"/>
        <c:lblAlgn val="ctr"/>
        <c:lblOffset val="100"/>
        <c:noMultiLvlLbl val="0"/>
      </c:catAx>
      <c:valAx>
        <c:axId val="11272683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72664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editAs="oneCell">
    <xdr:from>
      <xdr:col>4</xdr:col>
      <xdr:colOff>336550</xdr:colOff>
      <xdr:row>2</xdr:row>
      <xdr:rowOff>158750</xdr:rowOff>
    </xdr:from>
    <xdr:to>
      <xdr:col>7</xdr:col>
      <xdr:colOff>222250</xdr:colOff>
      <xdr:row>17</xdr:row>
      <xdr:rowOff>15872</xdr:rowOff>
    </xdr:to>
    <mc:AlternateContent xmlns:mc="http://schemas.openxmlformats.org/markup-compatibility/2006">
      <mc:Choice xmlns:a14="http://schemas.microsoft.com/office/drawing/2010/main" Requires="a14">
        <xdr:graphicFrame macro="">
          <xdr:nvGraphicFramePr>
            <xdr:cNvPr id="2" name="Product">
              <a:extLst>
                <a:ext uri="{FF2B5EF4-FFF2-40B4-BE49-F238E27FC236}">
                  <a16:creationId xmlns:a16="http://schemas.microsoft.com/office/drawing/2014/main" id="{1F0AEDEA-BC25-3857-7B46-814BA0702E05}"/>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3543300" y="527050"/>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11</xdr:row>
      <xdr:rowOff>38100</xdr:rowOff>
    </xdr:from>
    <xdr:to>
      <xdr:col>1</xdr:col>
      <xdr:colOff>958850</xdr:colOff>
      <xdr:row>25</xdr:row>
      <xdr:rowOff>79372</xdr:rowOff>
    </xdr:to>
    <mc:AlternateContent xmlns:mc="http://schemas.openxmlformats.org/markup-compatibility/2006">
      <mc:Choice xmlns:a14="http://schemas.microsoft.com/office/drawing/2010/main" Requires="a14">
        <xdr:graphicFrame macro="">
          <xdr:nvGraphicFramePr>
            <xdr:cNvPr id="5" name="Product 1">
              <a:extLst>
                <a:ext uri="{FF2B5EF4-FFF2-40B4-BE49-F238E27FC236}">
                  <a16:creationId xmlns:a16="http://schemas.microsoft.com/office/drawing/2014/main" id="{96470182-99C7-CE77-46DE-DAE1C8573139}"/>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dr:sp macro="" textlink="">
          <xdr:nvSpPr>
            <xdr:cNvPr id="0" name=""/>
            <xdr:cNvSpPr>
              <a:spLocks noTextEdit="1"/>
            </xdr:cNvSpPr>
          </xdr:nvSpPr>
          <xdr:spPr>
            <a:xfrm>
              <a:off x="0" y="2063750"/>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0</xdr:colOff>
      <xdr:row>11</xdr:row>
      <xdr:rowOff>171450</xdr:rowOff>
    </xdr:from>
    <xdr:to>
      <xdr:col>13</xdr:col>
      <xdr:colOff>425450</xdr:colOff>
      <xdr:row>26</xdr:row>
      <xdr:rowOff>57150</xdr:rowOff>
    </xdr:to>
    <xdr:graphicFrame macro="">
      <xdr:nvGraphicFramePr>
        <xdr:cNvPr id="7" name="Chart 6">
          <a:extLst>
            <a:ext uri="{FF2B5EF4-FFF2-40B4-BE49-F238E27FC236}">
              <a16:creationId xmlns:a16="http://schemas.microsoft.com/office/drawing/2014/main" id="{A27424CC-550B-8753-ACD2-A572DC47421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63500</xdr:colOff>
      <xdr:row>0</xdr:row>
      <xdr:rowOff>95250</xdr:rowOff>
    </xdr:from>
    <xdr:to>
      <xdr:col>13</xdr:col>
      <xdr:colOff>539750</xdr:colOff>
      <xdr:row>11</xdr:row>
      <xdr:rowOff>101600</xdr:rowOff>
    </xdr:to>
    <xdr:graphicFrame macro="">
      <xdr:nvGraphicFramePr>
        <xdr:cNvPr id="8" name="Chart 7">
          <a:extLst>
            <a:ext uri="{FF2B5EF4-FFF2-40B4-BE49-F238E27FC236}">
              <a16:creationId xmlns:a16="http://schemas.microsoft.com/office/drawing/2014/main" id="{B17CCA0D-9DFC-82B3-2F83-616D21D8D14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6</xdr:col>
      <xdr:colOff>139700</xdr:colOff>
      <xdr:row>6</xdr:row>
      <xdr:rowOff>19050</xdr:rowOff>
    </xdr:from>
    <xdr:to>
      <xdr:col>12</xdr:col>
      <xdr:colOff>596900</xdr:colOff>
      <xdr:row>21</xdr:row>
      <xdr:rowOff>0</xdr:rowOff>
    </xdr:to>
    <xdr:graphicFrame macro="">
      <xdr:nvGraphicFramePr>
        <xdr:cNvPr id="2" name="Chart 1">
          <a:extLst>
            <a:ext uri="{FF2B5EF4-FFF2-40B4-BE49-F238E27FC236}">
              <a16:creationId xmlns:a16="http://schemas.microsoft.com/office/drawing/2014/main" id="{E1E3C25A-B495-5D0E-ECB6-E1BBE184050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973.354188194447" createdVersion="8" refreshedVersion="8" minRefreshableVersion="3" recordCount="20" xr:uid="{195BDDC1-00EB-42F4-BB08-0BCC30246BEF}">
  <cacheSource type="worksheet">
    <worksheetSource ref="A1:E21" sheet="Sheet1"/>
  </cacheSource>
  <cacheFields count="5">
    <cacheField name="Date" numFmtId="22">
      <sharedItems containsSemiMixedTypes="0" containsNonDate="0" containsDate="1" containsString="0" minDate="2024-01-01T00:00:00" maxDate="2024-07-01T00:00:00"/>
    </cacheField>
    <cacheField name="Region" numFmtId="0">
      <sharedItems count="4">
        <s v="West"/>
        <s v="South"/>
        <s v="East"/>
        <s v="North"/>
      </sharedItems>
    </cacheField>
    <cacheField name="Product" numFmtId="0">
      <sharedItems/>
    </cacheField>
    <cacheField name="Sales" numFmtId="0">
      <sharedItems containsSemiMixedTypes="0" containsString="0" containsNumber="1" containsInteger="1" minValue="53" maxValue="497"/>
    </cacheField>
    <cacheField name="Quantity" numFmtId="0">
      <sharedItems containsSemiMixedTypes="0" containsString="0" containsNumber="1" containsInteger="1" minValue="23" maxValue="97"/>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973.366795486108" createdVersion="8" refreshedVersion="8" minRefreshableVersion="3" recordCount="20" xr:uid="{FE6157D0-AC93-4092-AD2B-EBF8154F8F5A}">
  <cacheSource type="worksheet">
    <worksheetSource ref="A1:E21" sheet="Sheet5"/>
  </cacheSource>
  <cacheFields count="7">
    <cacheField name="Date" numFmtId="22">
      <sharedItems containsSemiMixedTypes="0" containsNonDate="0" containsDate="1" containsString="0" minDate="2024-01-01T00:00:00" maxDate="2024-07-01T00:00:00" count="20">
        <d v="2024-01-01T00:00:00"/>
        <d v="2024-01-10T12:37:54"/>
        <d v="2024-01-20T01:15:47"/>
        <d v="2024-01-29T13:53:41"/>
        <d v="2024-02-08T02:31:35"/>
        <d v="2024-02-17T15:09:28"/>
        <d v="2024-02-27T03:47:22"/>
        <d v="2024-03-07T16:25:16"/>
        <d v="2024-03-17T05:03:09"/>
        <d v="2024-03-26T17:41:03"/>
        <d v="2024-04-05T06:18:57"/>
        <d v="2024-04-14T18:56:51"/>
        <d v="2024-04-24T07:34:44"/>
        <d v="2024-05-03T20:12:38"/>
        <d v="2024-05-13T08:50:32"/>
        <d v="2024-05-22T21:28:25"/>
        <d v="2024-06-01T10:06:19"/>
        <d v="2024-06-10T22:44:13"/>
        <d v="2024-06-20T11:22:06"/>
        <d v="2024-06-30T00:00:00"/>
      </sharedItems>
      <fieldGroup par="6"/>
    </cacheField>
    <cacheField name="Region" numFmtId="0">
      <sharedItems/>
    </cacheField>
    <cacheField name="Product" numFmtId="0">
      <sharedItems count="3">
        <s v="Mangoes"/>
        <s v="Oranges"/>
        <s v="Apples"/>
      </sharedItems>
    </cacheField>
    <cacheField name="Sales" numFmtId="0">
      <sharedItems containsSemiMixedTypes="0" containsString="0" containsNumber="1" containsInteger="1" minValue="53" maxValue="497"/>
    </cacheField>
    <cacheField name="Quantity" numFmtId="0">
      <sharedItems containsSemiMixedTypes="0" containsString="0" containsNumber="1" containsInteger="1" minValue="23" maxValue="97"/>
    </cacheField>
    <cacheField name="Days (Date)" numFmtId="0" databaseField="0">
      <fieldGroup base="0">
        <rangePr groupBy="days" startDate="2024-01-01T00:00:00" endDate="2024-07-01T00:00:00"/>
        <groupItems count="368">
          <s v="&lt;1/1/2024"/>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7/1/2024"/>
        </groupItems>
      </fieldGroup>
    </cacheField>
    <cacheField name="Months (Date)" numFmtId="0" databaseField="0">
      <fieldGroup base="0">
        <rangePr groupBy="months" startDate="2024-01-01T00:00:00" endDate="2024-07-01T00:00:00"/>
        <groupItems count="14">
          <s v="&lt;1/1/2024"/>
          <s v="Jan"/>
          <s v="Feb"/>
          <s v="Mar"/>
          <s v="Apr"/>
          <s v="May"/>
          <s v="Jun"/>
          <s v="Jul"/>
          <s v="Aug"/>
          <s v="Sep"/>
          <s v="Oct"/>
          <s v="Nov"/>
          <s v="Dec"/>
          <s v="&gt;7/1/2024"/>
        </groupItems>
      </fieldGroup>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973.66709560185" createdVersion="8" refreshedVersion="8" minRefreshableVersion="3" recordCount="20" xr:uid="{217D4E91-F6A8-40F2-B70D-CC3B73AEC1A9}">
  <cacheSource type="worksheet">
    <worksheetSource ref="A1:E21" sheet="Sheet6"/>
  </cacheSource>
  <cacheFields count="5">
    <cacheField name="Date" numFmtId="22">
      <sharedItems containsSemiMixedTypes="0" containsNonDate="0" containsDate="1" containsString="0" minDate="2024-01-01T00:00:00" maxDate="2024-07-01T00:00:00"/>
    </cacheField>
    <cacheField name="Region" numFmtId="0">
      <sharedItems count="4">
        <s v="West"/>
        <s v="South"/>
        <s v="East"/>
        <s v="North"/>
      </sharedItems>
    </cacheField>
    <cacheField name="Product" numFmtId="0">
      <sharedItems count="3">
        <s v="Mangoes"/>
        <s v="Oranges"/>
        <s v="Apples"/>
      </sharedItems>
    </cacheField>
    <cacheField name="Sales" numFmtId="0">
      <sharedItems containsSemiMixedTypes="0" containsString="0" containsNumber="1" containsInteger="1" minValue="53" maxValue="497"/>
    </cacheField>
    <cacheField name="Quantity" numFmtId="0">
      <sharedItems containsSemiMixedTypes="0" containsString="0" containsNumber="1" containsInteger="1" minValue="23" maxValue="97"/>
    </cacheField>
  </cacheFields>
  <extLst>
    <ext xmlns:x14="http://schemas.microsoft.com/office/spreadsheetml/2009/9/main" uri="{725AE2AE-9491-48be-B2B4-4EB974FC3084}">
      <x14:pivotCacheDefinition pivotCacheId="214706366"/>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973.686331828707" createdVersion="8" refreshedVersion="8" minRefreshableVersion="3" recordCount="20" xr:uid="{A5752816-0134-4A04-B48F-4EB1E208A858}">
  <cacheSource type="worksheet">
    <worksheetSource ref="A1:E21" sheet="Sheet8"/>
  </cacheSource>
  <cacheFields count="7">
    <cacheField name="Date" numFmtId="22">
      <sharedItems containsSemiMixedTypes="0" containsNonDate="0" containsDate="1" containsString="0" minDate="2024-01-01T00:00:00" maxDate="2024-07-01T00:00:00" count="20">
        <d v="2024-04-24T07:34:44"/>
        <d v="2024-01-10T12:37:54"/>
        <d v="2024-01-20T01:15:47"/>
        <d v="2024-01-29T13:53:41"/>
        <d v="2024-03-17T05:03:09"/>
        <d v="2024-02-17T15:09:28"/>
        <d v="2024-02-27T03:47:22"/>
        <d v="2024-03-07T16:25:16"/>
        <d v="2024-04-05T06:18:57"/>
        <d v="2024-03-26T17:41:03"/>
        <d v="2024-05-22T21:28:25"/>
        <d v="2024-04-14T18:56:51"/>
        <d v="2024-01-01T00:00:00"/>
        <d v="2024-02-08T02:31:35"/>
        <d v="2024-05-13T08:50:32"/>
        <d v="2024-05-03T20:12:38"/>
        <d v="2024-06-01T10:06:19"/>
        <d v="2024-06-10T22:44:13"/>
        <d v="2024-06-20T11:22:06"/>
        <d v="2024-06-30T00:00:00"/>
      </sharedItems>
      <fieldGroup par="6"/>
    </cacheField>
    <cacheField name="Region" numFmtId="0">
      <sharedItems count="4">
        <s v="East"/>
        <s v="South"/>
        <s v="West"/>
        <s v="North"/>
      </sharedItems>
    </cacheField>
    <cacheField name="Product" numFmtId="0">
      <sharedItems count="3">
        <s v="Mangoes"/>
        <s v="Oranges"/>
        <s v="Apples"/>
      </sharedItems>
    </cacheField>
    <cacheField name="Sales" numFmtId="0">
      <sharedItems containsSemiMixedTypes="0" containsString="0" containsNumber="1" containsInteger="1" minValue="53" maxValue="497"/>
    </cacheField>
    <cacheField name="Quantity" numFmtId="0">
      <sharedItems containsSemiMixedTypes="0" containsString="0" containsNumber="1" containsInteger="1" minValue="23" maxValue="97"/>
    </cacheField>
    <cacheField name="Days (Date)" numFmtId="0" databaseField="0">
      <fieldGroup base="0">
        <rangePr groupBy="days" startDate="2024-01-01T00:00:00" endDate="2024-07-01T00:00:00"/>
        <groupItems count="368">
          <s v="&lt;1/1/2024"/>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7/1/2024"/>
        </groupItems>
      </fieldGroup>
    </cacheField>
    <cacheField name="Months (Date)" numFmtId="0" databaseField="0">
      <fieldGroup base="0">
        <rangePr groupBy="months" startDate="2024-01-01T00:00:00" endDate="2024-07-01T00:00:00"/>
        <groupItems count="14">
          <s v="&lt;1/1/2024"/>
          <s v="Jan"/>
          <s v="Feb"/>
          <s v="Mar"/>
          <s v="Apr"/>
          <s v="May"/>
          <s v="Jun"/>
          <s v="Jul"/>
          <s v="Aug"/>
          <s v="Sep"/>
          <s v="Oct"/>
          <s v="Nov"/>
          <s v="Dec"/>
          <s v="&gt;7/1/2024"/>
        </groupItems>
      </fieldGroup>
    </cacheField>
  </cacheFields>
  <extLst>
    <ext xmlns:x14="http://schemas.microsoft.com/office/spreadsheetml/2009/9/main" uri="{725AE2AE-9491-48be-B2B4-4EB974FC3084}">
      <x14:pivotCacheDefinition pivotCacheId="1482181148"/>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973.750516550928" createdVersion="8" refreshedVersion="8" minRefreshableVersion="3" recordCount="20" xr:uid="{1C6DB5A7-2C2C-462F-B76D-1C4729BE9765}">
  <cacheSource type="worksheet">
    <worksheetSource ref="A1:G21" sheet="Sheet8"/>
  </cacheSource>
  <cacheFields count="9">
    <cacheField name="Date" numFmtId="22">
      <sharedItems containsSemiMixedTypes="0" containsNonDate="0" containsDate="1" containsString="0" minDate="2024-01-01T00:00:00" maxDate="2024-07-01T00:00:00" count="20">
        <d v="2024-01-01T00:00:00"/>
        <d v="2024-01-10T12:37:54"/>
        <d v="2024-01-20T01:15:47"/>
        <d v="2024-01-29T13:53:41"/>
        <d v="2024-02-08T02:31:35"/>
        <d v="2024-02-17T15:09:28"/>
        <d v="2024-02-27T03:47:22"/>
        <d v="2024-03-07T16:25:16"/>
        <d v="2024-03-17T05:03:09"/>
        <d v="2024-03-26T17:41:03"/>
        <d v="2024-04-05T06:18:57"/>
        <d v="2024-04-14T18:56:51"/>
        <d v="2024-04-24T07:34:44"/>
        <d v="2024-05-03T20:12:38"/>
        <d v="2024-05-13T08:50:32"/>
        <d v="2024-05-22T21:28:25"/>
        <d v="2024-06-01T10:06:19"/>
        <d v="2024-06-10T22:44:13"/>
        <d v="2024-06-20T11:22:06"/>
        <d v="2024-06-30T00:00:00"/>
      </sharedItems>
      <fieldGroup par="8"/>
    </cacheField>
    <cacheField name="Region" numFmtId="0">
      <sharedItems/>
    </cacheField>
    <cacheField name="Product" numFmtId="0">
      <sharedItems/>
    </cacheField>
    <cacheField name="Sales" numFmtId="0">
      <sharedItems containsSemiMixedTypes="0" containsString="0" containsNumber="1" containsInteger="1" minValue="53" maxValue="497"/>
    </cacheField>
    <cacheField name="Quantity" numFmtId="0">
      <sharedItems containsSemiMixedTypes="0" containsString="0" containsNumber="1" containsInteger="1" minValue="23" maxValue="97"/>
    </cacheField>
    <cacheField name="Total qty in month" numFmtId="0">
      <sharedItems containsString="0" containsBlank="1" containsNumber="1" containsInteger="1" minValue="958" maxValue="1286"/>
    </cacheField>
    <cacheField name="avg sale in month" numFmtId="0">
      <sharedItems containsString="0" containsBlank="1" containsNumber="1" minValue="279.25" maxValue="428.66666666666669"/>
    </cacheField>
    <cacheField name="Days (Date)" numFmtId="0" databaseField="0">
      <fieldGroup base="0">
        <rangePr groupBy="days" startDate="2024-01-01T00:00:00" endDate="2024-07-01T00:00:00"/>
        <groupItems count="368">
          <s v="&lt;1/1/2024"/>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7/1/2024"/>
        </groupItems>
      </fieldGroup>
    </cacheField>
    <cacheField name="Months (Date)" numFmtId="0" databaseField="0">
      <fieldGroup base="0">
        <rangePr groupBy="months" startDate="2024-01-01T00:00:00" endDate="2024-07-01T00:00:00"/>
        <groupItems count="14">
          <s v="&lt;1/1/2024"/>
          <s v="Jan"/>
          <s v="Feb"/>
          <s v="Mar"/>
          <s v="Apr"/>
          <s v="May"/>
          <s v="Jun"/>
          <s v="Jul"/>
          <s v="Aug"/>
          <s v="Sep"/>
          <s v="Oct"/>
          <s v="Nov"/>
          <s v="Dec"/>
          <s v="&gt;7/1/2024"/>
        </groupItems>
      </fieldGroup>
    </cacheField>
  </cacheFields>
  <extLst>
    <ext xmlns:x14="http://schemas.microsoft.com/office/spreadsheetml/2009/9/main" uri="{725AE2AE-9491-48be-B2B4-4EB974FC3084}">
      <x14:pivotCacheDefinition/>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973.758739004632" createdVersion="8" refreshedVersion="8" minRefreshableVersion="3" recordCount="20" xr:uid="{C97133F5-504C-4BF5-B516-4D2193C4F63F}">
  <cacheSource type="worksheet">
    <worksheetSource ref="A1:F21" sheet="Sheet12"/>
  </cacheSource>
  <cacheFields count="6">
    <cacheField name="Date" numFmtId="22">
      <sharedItems containsSemiMixedTypes="0" containsNonDate="0" containsDate="1" containsString="0" minDate="2024-01-01T00:00:00" maxDate="2024-07-01T00:00:00"/>
    </cacheField>
    <cacheField name="Region" numFmtId="0">
      <sharedItems/>
    </cacheField>
    <cacheField name="Product" numFmtId="0">
      <sharedItems count="3">
        <s v="Apples"/>
        <s v="Mangoes"/>
        <s v="Oranges"/>
      </sharedItems>
    </cacheField>
    <cacheField name="Sales" numFmtId="0">
      <sharedItems containsSemiMixedTypes="0" containsString="0" containsNumber="1" containsInteger="1" minValue="53" maxValue="497"/>
    </cacheField>
    <cacheField name="Quantity" numFmtId="0">
      <sharedItems containsSemiMixedTypes="0" containsString="0" containsNumber="1" containsInteger="1" minValue="23" maxValue="97"/>
    </cacheField>
    <cacheField name="COMBINE" numFmtId="0">
      <sharedItems count="2">
        <s v="FRUITS"/>
        <s v="Mangoes"/>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d v="2024-01-01T00:00:00"/>
    <x v="0"/>
    <s v="Mangoes"/>
    <n v="456"/>
    <n v="93"/>
  </r>
  <r>
    <d v="2024-01-10T12:37:54"/>
    <x v="1"/>
    <s v="Oranges"/>
    <n v="348"/>
    <n v="56"/>
  </r>
  <r>
    <d v="2024-01-20T01:15:47"/>
    <x v="1"/>
    <s v="Mangoes"/>
    <n v="247"/>
    <n v="76"/>
  </r>
  <r>
    <d v="2024-01-29T13:53:41"/>
    <x v="0"/>
    <s v="Apples"/>
    <n v="230"/>
    <n v="37"/>
  </r>
  <r>
    <d v="2024-02-08T02:31:35"/>
    <x v="0"/>
    <s v="Mangoes"/>
    <n v="281"/>
    <n v="50"/>
  </r>
  <r>
    <d v="2024-02-17T15:09:28"/>
    <x v="0"/>
    <s v="Oranges"/>
    <n v="334"/>
    <n v="52"/>
  </r>
  <r>
    <d v="2024-02-27T03:47:22"/>
    <x v="1"/>
    <s v="Apples"/>
    <n v="417"/>
    <n v="29"/>
  </r>
  <r>
    <d v="2024-03-07T16:25:16"/>
    <x v="0"/>
    <s v="Apples"/>
    <n v="441"/>
    <n v="44"/>
  </r>
  <r>
    <d v="2024-03-17T05:03:09"/>
    <x v="1"/>
    <s v="Mangoes"/>
    <n v="76"/>
    <n v="63"/>
  </r>
  <r>
    <d v="2024-03-26T17:41:03"/>
    <x v="0"/>
    <s v="Oranges"/>
    <n v="441"/>
    <n v="79"/>
  </r>
  <r>
    <d v="2024-04-05T06:18:57"/>
    <x v="1"/>
    <s v="Mangoes"/>
    <n v="205"/>
    <n v="23"/>
  </r>
  <r>
    <d v="2024-04-14T18:56:51"/>
    <x v="0"/>
    <s v="Oranges"/>
    <n v="483"/>
    <n v="97"/>
  </r>
  <r>
    <d v="2024-04-24T07:34:44"/>
    <x v="2"/>
    <s v="Mangoes"/>
    <n v="467"/>
    <n v="97"/>
  </r>
  <r>
    <d v="2024-05-03T20:12:38"/>
    <x v="0"/>
    <s v="Mangoes"/>
    <n v="380"/>
    <n v="92"/>
  </r>
  <r>
    <d v="2024-05-13T08:50:32"/>
    <x v="1"/>
    <s v="Oranges"/>
    <n v="497"/>
    <n v="71"/>
  </r>
  <r>
    <d v="2024-05-22T21:28:25"/>
    <x v="1"/>
    <s v="Mangoes"/>
    <n v="409"/>
    <n v="81"/>
  </r>
  <r>
    <d v="2024-06-01T10:06:19"/>
    <x v="0"/>
    <s v="Oranges"/>
    <n v="53"/>
    <n v="45"/>
  </r>
  <r>
    <d v="2024-06-10T22:44:13"/>
    <x v="0"/>
    <s v="Apples"/>
    <n v="398"/>
    <n v="33"/>
  </r>
  <r>
    <d v="2024-06-20T11:22:06"/>
    <x v="3"/>
    <s v="Oranges"/>
    <n v="347"/>
    <n v="35"/>
  </r>
  <r>
    <d v="2024-06-30T00:00:00"/>
    <x v="1"/>
    <s v="Apples"/>
    <n v="319"/>
    <n v="45"/>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x v="0"/>
    <s v="West"/>
    <x v="0"/>
    <n v="456"/>
    <n v="93"/>
  </r>
  <r>
    <x v="1"/>
    <s v="South"/>
    <x v="1"/>
    <n v="348"/>
    <n v="56"/>
  </r>
  <r>
    <x v="2"/>
    <s v="South"/>
    <x v="0"/>
    <n v="247"/>
    <n v="76"/>
  </r>
  <r>
    <x v="3"/>
    <s v="West"/>
    <x v="2"/>
    <n v="230"/>
    <n v="37"/>
  </r>
  <r>
    <x v="4"/>
    <s v="West"/>
    <x v="0"/>
    <n v="281"/>
    <n v="50"/>
  </r>
  <r>
    <x v="5"/>
    <s v="West"/>
    <x v="1"/>
    <n v="334"/>
    <n v="52"/>
  </r>
  <r>
    <x v="6"/>
    <s v="South"/>
    <x v="2"/>
    <n v="417"/>
    <n v="29"/>
  </r>
  <r>
    <x v="7"/>
    <s v="West"/>
    <x v="2"/>
    <n v="441"/>
    <n v="44"/>
  </r>
  <r>
    <x v="8"/>
    <s v="South"/>
    <x v="0"/>
    <n v="76"/>
    <n v="63"/>
  </r>
  <r>
    <x v="9"/>
    <s v="West"/>
    <x v="1"/>
    <n v="441"/>
    <n v="79"/>
  </r>
  <r>
    <x v="10"/>
    <s v="South"/>
    <x v="0"/>
    <n v="205"/>
    <n v="23"/>
  </r>
  <r>
    <x v="11"/>
    <s v="West"/>
    <x v="1"/>
    <n v="483"/>
    <n v="97"/>
  </r>
  <r>
    <x v="12"/>
    <s v="East"/>
    <x v="0"/>
    <n v="467"/>
    <n v="97"/>
  </r>
  <r>
    <x v="13"/>
    <s v="West"/>
    <x v="0"/>
    <n v="380"/>
    <n v="92"/>
  </r>
  <r>
    <x v="14"/>
    <s v="South"/>
    <x v="1"/>
    <n v="497"/>
    <n v="71"/>
  </r>
  <r>
    <x v="15"/>
    <s v="South"/>
    <x v="0"/>
    <n v="409"/>
    <n v="81"/>
  </r>
  <r>
    <x v="16"/>
    <s v="West"/>
    <x v="1"/>
    <n v="53"/>
    <n v="45"/>
  </r>
  <r>
    <x v="17"/>
    <s v="West"/>
    <x v="2"/>
    <n v="398"/>
    <n v="33"/>
  </r>
  <r>
    <x v="18"/>
    <s v="North"/>
    <x v="1"/>
    <n v="347"/>
    <n v="35"/>
  </r>
  <r>
    <x v="19"/>
    <s v="South"/>
    <x v="2"/>
    <n v="319"/>
    <n v="45"/>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d v="2024-01-01T00:00:00"/>
    <x v="0"/>
    <x v="0"/>
    <n v="456"/>
    <n v="93"/>
  </r>
  <r>
    <d v="2024-01-10T12:37:54"/>
    <x v="1"/>
    <x v="1"/>
    <n v="348"/>
    <n v="56"/>
  </r>
  <r>
    <d v="2024-01-20T01:15:47"/>
    <x v="1"/>
    <x v="0"/>
    <n v="247"/>
    <n v="76"/>
  </r>
  <r>
    <d v="2024-01-29T13:53:41"/>
    <x v="0"/>
    <x v="2"/>
    <n v="230"/>
    <n v="37"/>
  </r>
  <r>
    <d v="2024-02-08T02:31:35"/>
    <x v="0"/>
    <x v="0"/>
    <n v="281"/>
    <n v="50"/>
  </r>
  <r>
    <d v="2024-02-17T15:09:28"/>
    <x v="0"/>
    <x v="1"/>
    <n v="334"/>
    <n v="52"/>
  </r>
  <r>
    <d v="2024-02-27T03:47:22"/>
    <x v="1"/>
    <x v="2"/>
    <n v="417"/>
    <n v="29"/>
  </r>
  <r>
    <d v="2024-03-07T16:25:16"/>
    <x v="0"/>
    <x v="2"/>
    <n v="441"/>
    <n v="44"/>
  </r>
  <r>
    <d v="2024-03-17T05:03:09"/>
    <x v="1"/>
    <x v="0"/>
    <n v="76"/>
    <n v="63"/>
  </r>
  <r>
    <d v="2024-03-26T17:41:03"/>
    <x v="0"/>
    <x v="1"/>
    <n v="441"/>
    <n v="79"/>
  </r>
  <r>
    <d v="2024-04-05T06:18:57"/>
    <x v="1"/>
    <x v="0"/>
    <n v="205"/>
    <n v="23"/>
  </r>
  <r>
    <d v="2024-04-14T18:56:51"/>
    <x v="0"/>
    <x v="1"/>
    <n v="483"/>
    <n v="97"/>
  </r>
  <r>
    <d v="2024-04-24T07:34:44"/>
    <x v="2"/>
    <x v="0"/>
    <n v="467"/>
    <n v="97"/>
  </r>
  <r>
    <d v="2024-05-03T20:12:38"/>
    <x v="0"/>
    <x v="0"/>
    <n v="380"/>
    <n v="92"/>
  </r>
  <r>
    <d v="2024-05-13T08:50:32"/>
    <x v="1"/>
    <x v="1"/>
    <n v="497"/>
    <n v="71"/>
  </r>
  <r>
    <d v="2024-05-22T21:28:25"/>
    <x v="1"/>
    <x v="0"/>
    <n v="409"/>
    <n v="81"/>
  </r>
  <r>
    <d v="2024-06-01T10:06:19"/>
    <x v="0"/>
    <x v="1"/>
    <n v="53"/>
    <n v="45"/>
  </r>
  <r>
    <d v="2024-06-10T22:44:13"/>
    <x v="0"/>
    <x v="2"/>
    <n v="398"/>
    <n v="33"/>
  </r>
  <r>
    <d v="2024-06-20T11:22:06"/>
    <x v="3"/>
    <x v="1"/>
    <n v="347"/>
    <n v="35"/>
  </r>
  <r>
    <d v="2024-06-30T00:00:00"/>
    <x v="1"/>
    <x v="2"/>
    <n v="319"/>
    <n v="45"/>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x v="0"/>
    <x v="0"/>
    <x v="0"/>
    <n v="467"/>
    <n v="97"/>
  </r>
  <r>
    <x v="1"/>
    <x v="1"/>
    <x v="1"/>
    <n v="348"/>
    <n v="56"/>
  </r>
  <r>
    <x v="2"/>
    <x v="1"/>
    <x v="0"/>
    <n v="247"/>
    <n v="76"/>
  </r>
  <r>
    <x v="3"/>
    <x v="2"/>
    <x v="2"/>
    <n v="230"/>
    <n v="37"/>
  </r>
  <r>
    <x v="4"/>
    <x v="1"/>
    <x v="0"/>
    <n v="76"/>
    <n v="63"/>
  </r>
  <r>
    <x v="5"/>
    <x v="2"/>
    <x v="1"/>
    <n v="334"/>
    <n v="52"/>
  </r>
  <r>
    <x v="6"/>
    <x v="1"/>
    <x v="2"/>
    <n v="417"/>
    <n v="29"/>
  </r>
  <r>
    <x v="7"/>
    <x v="2"/>
    <x v="2"/>
    <n v="441"/>
    <n v="44"/>
  </r>
  <r>
    <x v="8"/>
    <x v="1"/>
    <x v="0"/>
    <n v="205"/>
    <n v="23"/>
  </r>
  <r>
    <x v="9"/>
    <x v="2"/>
    <x v="1"/>
    <n v="441"/>
    <n v="79"/>
  </r>
  <r>
    <x v="10"/>
    <x v="1"/>
    <x v="0"/>
    <n v="409"/>
    <n v="81"/>
  </r>
  <r>
    <x v="11"/>
    <x v="2"/>
    <x v="1"/>
    <n v="483"/>
    <n v="97"/>
  </r>
  <r>
    <x v="12"/>
    <x v="2"/>
    <x v="0"/>
    <n v="456"/>
    <n v="93"/>
  </r>
  <r>
    <x v="13"/>
    <x v="2"/>
    <x v="0"/>
    <n v="281"/>
    <n v="50"/>
  </r>
  <r>
    <x v="14"/>
    <x v="1"/>
    <x v="1"/>
    <n v="497"/>
    <n v="71"/>
  </r>
  <r>
    <x v="15"/>
    <x v="2"/>
    <x v="0"/>
    <n v="380"/>
    <n v="92"/>
  </r>
  <r>
    <x v="16"/>
    <x v="2"/>
    <x v="1"/>
    <n v="53"/>
    <n v="45"/>
  </r>
  <r>
    <x v="17"/>
    <x v="2"/>
    <x v="2"/>
    <n v="398"/>
    <n v="33"/>
  </r>
  <r>
    <x v="18"/>
    <x v="3"/>
    <x v="1"/>
    <n v="347"/>
    <n v="35"/>
  </r>
  <r>
    <x v="19"/>
    <x v="1"/>
    <x v="2"/>
    <n v="319"/>
    <n v="45"/>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x v="0"/>
    <s v="West"/>
    <s v="Mangoes"/>
    <n v="456"/>
    <n v="93"/>
    <m/>
    <m/>
  </r>
  <r>
    <x v="1"/>
    <s v="South"/>
    <s v="Oranges"/>
    <n v="348"/>
    <n v="56"/>
    <m/>
    <m/>
  </r>
  <r>
    <x v="2"/>
    <s v="South"/>
    <s v="Mangoes"/>
    <n v="247"/>
    <n v="76"/>
    <n v="1281"/>
    <n v="320.25"/>
  </r>
  <r>
    <x v="3"/>
    <s v="West"/>
    <s v="Apples"/>
    <n v="230"/>
    <n v="37"/>
    <m/>
    <m/>
  </r>
  <r>
    <x v="4"/>
    <s v="West"/>
    <s v="Mangoes"/>
    <n v="281"/>
    <n v="50"/>
    <m/>
    <m/>
  </r>
  <r>
    <x v="5"/>
    <s v="West"/>
    <s v="Oranges"/>
    <n v="334"/>
    <n v="52"/>
    <n v="1032"/>
    <n v="344"/>
  </r>
  <r>
    <x v="6"/>
    <s v="South"/>
    <s v="Apples"/>
    <n v="417"/>
    <n v="29"/>
    <m/>
    <m/>
  </r>
  <r>
    <x v="7"/>
    <s v="West"/>
    <s v="Apples"/>
    <n v="441"/>
    <n v="44"/>
    <m/>
    <m/>
  </r>
  <r>
    <x v="8"/>
    <s v="South"/>
    <s v="Mangoes"/>
    <n v="76"/>
    <n v="63"/>
    <n v="958"/>
    <n v="319.33333333333331"/>
  </r>
  <r>
    <x v="9"/>
    <s v="West"/>
    <s v="Oranges"/>
    <n v="441"/>
    <n v="79"/>
    <m/>
    <m/>
  </r>
  <r>
    <x v="10"/>
    <s v="South"/>
    <s v="Mangoes"/>
    <n v="205"/>
    <n v="23"/>
    <m/>
    <m/>
  </r>
  <r>
    <x v="11"/>
    <s v="West"/>
    <s v="Oranges"/>
    <n v="483"/>
    <n v="97"/>
    <n v="1155"/>
    <n v="385"/>
  </r>
  <r>
    <x v="12"/>
    <s v="East"/>
    <s v="Mangoes"/>
    <n v="467"/>
    <n v="97"/>
    <m/>
    <m/>
  </r>
  <r>
    <x v="13"/>
    <s v="West"/>
    <s v="Mangoes"/>
    <n v="380"/>
    <n v="92"/>
    <m/>
    <m/>
  </r>
  <r>
    <x v="14"/>
    <s v="South"/>
    <s v="Oranges"/>
    <n v="497"/>
    <n v="71"/>
    <n v="1286"/>
    <n v="428.66666666666669"/>
  </r>
  <r>
    <x v="15"/>
    <s v="South"/>
    <s v="Mangoes"/>
    <n v="409"/>
    <n v="81"/>
    <m/>
    <m/>
  </r>
  <r>
    <x v="16"/>
    <s v="West"/>
    <s v="Oranges"/>
    <n v="53"/>
    <n v="45"/>
    <m/>
    <m/>
  </r>
  <r>
    <x v="17"/>
    <s v="West"/>
    <s v="Apples"/>
    <n v="398"/>
    <n v="33"/>
    <n v="1117"/>
    <n v="279.25"/>
  </r>
  <r>
    <x v="18"/>
    <s v="North"/>
    <s v="Oranges"/>
    <n v="347"/>
    <n v="35"/>
    <m/>
    <m/>
  </r>
  <r>
    <x v="19"/>
    <s v="South"/>
    <s v="Apples"/>
    <n v="319"/>
    <n v="45"/>
    <m/>
    <m/>
  </r>
</pivotCacheRecords>
</file>

<file path=xl/pivotCache/pivotCacheRecords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d v="2024-01-29T13:53:41"/>
    <s v="West"/>
    <x v="0"/>
    <n v="230"/>
    <n v="37"/>
    <x v="0"/>
  </r>
  <r>
    <d v="2024-02-27T03:47:22"/>
    <s v="South"/>
    <x v="0"/>
    <n v="417"/>
    <n v="29"/>
    <x v="0"/>
  </r>
  <r>
    <d v="2024-03-07T16:25:16"/>
    <s v="West"/>
    <x v="0"/>
    <n v="441"/>
    <n v="44"/>
    <x v="0"/>
  </r>
  <r>
    <d v="2024-06-10T22:44:13"/>
    <s v="West"/>
    <x v="0"/>
    <n v="398"/>
    <n v="33"/>
    <x v="0"/>
  </r>
  <r>
    <d v="2024-06-30T00:00:00"/>
    <s v="South"/>
    <x v="0"/>
    <n v="319"/>
    <n v="45"/>
    <x v="0"/>
  </r>
  <r>
    <d v="2024-01-01T00:00:00"/>
    <s v="West"/>
    <x v="1"/>
    <n v="456"/>
    <n v="93"/>
    <x v="1"/>
  </r>
  <r>
    <d v="2024-01-20T01:15:47"/>
    <s v="South"/>
    <x v="1"/>
    <n v="247"/>
    <n v="76"/>
    <x v="1"/>
  </r>
  <r>
    <d v="2024-02-08T02:31:35"/>
    <s v="West"/>
    <x v="1"/>
    <n v="281"/>
    <n v="50"/>
    <x v="1"/>
  </r>
  <r>
    <d v="2024-03-17T05:03:09"/>
    <s v="South"/>
    <x v="1"/>
    <n v="76"/>
    <n v="63"/>
    <x v="1"/>
  </r>
  <r>
    <d v="2024-04-05T06:18:57"/>
    <s v="South"/>
    <x v="1"/>
    <n v="205"/>
    <n v="23"/>
    <x v="1"/>
  </r>
  <r>
    <d v="2024-04-24T07:34:44"/>
    <s v="East"/>
    <x v="1"/>
    <n v="467"/>
    <n v="97"/>
    <x v="1"/>
  </r>
  <r>
    <d v="2024-05-03T20:12:38"/>
    <s v="West"/>
    <x v="1"/>
    <n v="380"/>
    <n v="92"/>
    <x v="1"/>
  </r>
  <r>
    <d v="2024-05-22T21:28:25"/>
    <s v="South"/>
    <x v="1"/>
    <n v="409"/>
    <n v="81"/>
    <x v="1"/>
  </r>
  <r>
    <d v="2024-01-10T12:37:54"/>
    <s v="South"/>
    <x v="2"/>
    <n v="348"/>
    <n v="56"/>
    <x v="0"/>
  </r>
  <r>
    <d v="2024-02-17T15:09:28"/>
    <s v="West"/>
    <x v="2"/>
    <n v="334"/>
    <n v="52"/>
    <x v="0"/>
  </r>
  <r>
    <d v="2024-03-26T17:41:03"/>
    <s v="West"/>
    <x v="2"/>
    <n v="441"/>
    <n v="79"/>
    <x v="0"/>
  </r>
  <r>
    <d v="2024-04-14T18:56:51"/>
    <s v="West"/>
    <x v="2"/>
    <n v="483"/>
    <n v="97"/>
    <x v="0"/>
  </r>
  <r>
    <d v="2024-05-13T08:50:32"/>
    <s v="South"/>
    <x v="2"/>
    <n v="497"/>
    <n v="71"/>
    <x v="0"/>
  </r>
  <r>
    <d v="2024-06-01T10:06:19"/>
    <s v="West"/>
    <x v="2"/>
    <n v="53"/>
    <n v="45"/>
    <x v="0"/>
  </r>
  <r>
    <d v="2024-06-20T11:22:06"/>
    <s v="North"/>
    <x v="2"/>
    <n v="347"/>
    <n v="35"/>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C1FD581-06FB-49FF-BA5E-C7B31470B322}" name="PivotTable1"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8" firstHeaderRow="1" firstDataRow="1" firstDataCol="1"/>
  <pivotFields count="5">
    <pivotField numFmtId="22" showAll="0"/>
    <pivotField axis="axisRow" showAll="0">
      <items count="5">
        <item x="2"/>
        <item x="3"/>
        <item x="1"/>
        <item x="0"/>
        <item t="default"/>
      </items>
    </pivotField>
    <pivotField showAll="0"/>
    <pivotField dataField="1" showAll="0"/>
    <pivotField showAll="0"/>
  </pivotFields>
  <rowFields count="1">
    <field x="1"/>
  </rowFields>
  <rowItems count="5">
    <i>
      <x/>
    </i>
    <i>
      <x v="1"/>
    </i>
    <i>
      <x v="2"/>
    </i>
    <i>
      <x v="3"/>
    </i>
    <i t="grand">
      <x/>
    </i>
  </rowItems>
  <colItems count="1">
    <i/>
  </colItems>
  <dataFields count="1">
    <dataField name="Sum of Sales" fld="3" baseField="0" baseItem="0"/>
  </dataFields>
  <formats count="6">
    <format dxfId="25">
      <pivotArea type="all" dataOnly="0" outline="0" fieldPosition="0"/>
    </format>
    <format dxfId="24">
      <pivotArea outline="0" collapsedLevelsAreSubtotals="1" fieldPosition="0"/>
    </format>
    <format dxfId="23">
      <pivotArea field="1" type="button" dataOnly="0" labelOnly="1" outline="0" axis="axisRow" fieldPosition="0"/>
    </format>
    <format dxfId="22">
      <pivotArea dataOnly="0" labelOnly="1" fieldPosition="0">
        <references count="1">
          <reference field="1" count="0"/>
        </references>
      </pivotArea>
    </format>
    <format dxfId="21">
      <pivotArea dataOnly="0" labelOnly="1" grandRow="1" outline="0" fieldPosition="0"/>
    </format>
    <format dxfId="2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997BAFA-B8AC-4BE5-AA05-A3ED7385EB59}" name="PivotTable2"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7:G14" firstHeaderRow="1" firstDataRow="1" firstDataCol="1"/>
  <pivotFields count="7">
    <pivotField numFmtId="22" showAll="0">
      <items count="21">
        <item x="0"/>
        <item x="1"/>
        <item x="2"/>
        <item x="3"/>
        <item x="4"/>
        <item x="5"/>
        <item x="6"/>
        <item x="7"/>
        <item x="8"/>
        <item x="9"/>
        <item x="10"/>
        <item x="11"/>
        <item x="12"/>
        <item x="13"/>
        <item x="14"/>
        <item x="15"/>
        <item x="16"/>
        <item x="17"/>
        <item x="18"/>
        <item x="19"/>
        <item t="default"/>
      </items>
    </pivotField>
    <pivotField showAll="0"/>
    <pivotField showAll="0">
      <items count="4">
        <item x="2"/>
        <item x="0"/>
        <item x="1"/>
        <item t="default"/>
      </items>
    </pivotField>
    <pivotField dataField="1"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6"/>
  </rowFields>
  <rowItems count="7">
    <i>
      <x v="1"/>
    </i>
    <i>
      <x v="2"/>
    </i>
    <i>
      <x v="3"/>
    </i>
    <i>
      <x v="4"/>
    </i>
    <i>
      <x v="5"/>
    </i>
    <i>
      <x v="6"/>
    </i>
    <i t="grand">
      <x/>
    </i>
  </rowItems>
  <colItems count="1">
    <i/>
  </colItems>
  <dataFields count="1">
    <dataField name="Sum of Sales" fld="3" baseField="0" baseItem="0"/>
  </dataFields>
  <formats count="6">
    <format dxfId="19">
      <pivotArea type="all" dataOnly="0" outline="0" fieldPosition="0"/>
    </format>
    <format dxfId="18">
      <pivotArea outline="0" collapsedLevelsAreSubtotals="1" fieldPosition="0"/>
    </format>
    <format dxfId="17">
      <pivotArea field="6" type="button" dataOnly="0" labelOnly="1" outline="0" axis="axisRow" fieldPosition="0"/>
    </format>
    <format dxfId="16">
      <pivotArea dataOnly="0" labelOnly="1" fieldPosition="0">
        <references count="1">
          <reference field="6" count="6">
            <x v="1"/>
            <x v="2"/>
            <x v="3"/>
            <x v="4"/>
            <x v="5"/>
            <x v="6"/>
          </reference>
        </references>
      </pivotArea>
    </format>
    <format dxfId="15">
      <pivotArea dataOnly="0" labelOnly="1" grandRow="1" outline="0" fieldPosition="0"/>
    </format>
    <format dxfId="14">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93F9D72-8BED-4F50-8EA8-34AEF0A2B328}" name="PivotTable3"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7" firstHeaderRow="0" firstDataRow="1" firstDataCol="1"/>
  <pivotFields count="5">
    <pivotField numFmtId="22" showAll="0"/>
    <pivotField axis="axisRow" showAll="0">
      <items count="5">
        <item x="2"/>
        <item x="3"/>
        <item x="1"/>
        <item x="0"/>
        <item t="default"/>
      </items>
    </pivotField>
    <pivotField multipleItemSelectionAllowed="1" showAll="0">
      <items count="4">
        <item h="1" x="2"/>
        <item x="0"/>
        <item h="1" x="1"/>
        <item t="default"/>
      </items>
    </pivotField>
    <pivotField dataField="1" showAll="0"/>
    <pivotField dataField="1" showAll="0"/>
  </pivotFields>
  <rowFields count="1">
    <field x="1"/>
  </rowFields>
  <rowItems count="4">
    <i>
      <x/>
    </i>
    <i>
      <x v="2"/>
    </i>
    <i>
      <x v="3"/>
    </i>
    <i t="grand">
      <x/>
    </i>
  </rowItems>
  <colFields count="1">
    <field x="-2"/>
  </colFields>
  <colItems count="2">
    <i>
      <x/>
    </i>
    <i i="1">
      <x v="1"/>
    </i>
  </colItems>
  <dataFields count="2">
    <dataField name="Sum of Sales" fld="3" baseField="0" baseItem="0"/>
    <dataField name="Sum of Quantity"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1253B4E-FEB4-45B6-AD64-23620B597008}" name="PivotTable4"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F11" firstHeaderRow="1" firstDataRow="2" firstDataCol="1"/>
  <pivotFields count="7">
    <pivotField numFmtId="22" showAll="0">
      <items count="21">
        <item x="12"/>
        <item x="1"/>
        <item x="2"/>
        <item x="3"/>
        <item x="13"/>
        <item x="5"/>
        <item x="6"/>
        <item x="7"/>
        <item x="4"/>
        <item x="9"/>
        <item x="8"/>
        <item x="11"/>
        <item x="0"/>
        <item x="15"/>
        <item x="14"/>
        <item x="10"/>
        <item x="16"/>
        <item x="17"/>
        <item x="18"/>
        <item x="19"/>
        <item t="default"/>
      </items>
    </pivotField>
    <pivotField axis="axisCol" showAll="0">
      <items count="5">
        <item x="0"/>
        <item x="3"/>
        <item x="1"/>
        <item x="2"/>
        <item t="default"/>
      </items>
    </pivotField>
    <pivotField showAll="0">
      <items count="4">
        <item h="1" x="2"/>
        <item x="0"/>
        <item x="1"/>
        <item t="default"/>
      </items>
    </pivotField>
    <pivotField dataField="1"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multipleItemSelectionAllowed="1" showAll="0">
      <items count="15">
        <item sd="0" x="0"/>
        <item sd="0" x="1"/>
        <item sd="0" x="2"/>
        <item sd="0" x="3"/>
        <item sd="0" x="4"/>
        <item sd="0" x="5"/>
        <item sd="0" x="6"/>
        <item sd="0" x="7"/>
        <item sd="0" x="8"/>
        <item sd="0" x="9"/>
        <item sd="0" x="10"/>
        <item sd="0" x="11"/>
        <item sd="0" x="12"/>
        <item sd="0" x="13"/>
        <item t="default"/>
      </items>
    </pivotField>
  </pivotFields>
  <rowFields count="1">
    <field x="6"/>
  </rowFields>
  <rowItems count="7">
    <i>
      <x v="1"/>
    </i>
    <i>
      <x v="2"/>
    </i>
    <i>
      <x v="3"/>
    </i>
    <i>
      <x v="4"/>
    </i>
    <i>
      <x v="5"/>
    </i>
    <i>
      <x v="6"/>
    </i>
    <i t="grand">
      <x/>
    </i>
  </rowItems>
  <colFields count="1">
    <field x="1"/>
  </colFields>
  <colItems count="5">
    <i>
      <x/>
    </i>
    <i>
      <x v="1"/>
    </i>
    <i>
      <x v="2"/>
    </i>
    <i>
      <x v="3"/>
    </i>
    <i t="grand">
      <x/>
    </i>
  </colItems>
  <dataFields count="1">
    <dataField name="Sum of Sales" fld="3" baseField="0" baseItem="0"/>
  </dataFields>
  <chartFormats count="21">
    <chartFormat chart="7" format="0"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0" format="1" series="1">
      <pivotArea type="data" outline="0" fieldPosition="0">
        <references count="2">
          <reference field="4294967294" count="1" selected="0">
            <x v="0"/>
          </reference>
          <reference field="6" count="1" selected="0">
            <x v="2"/>
          </reference>
        </references>
      </pivotArea>
    </chartFormat>
    <chartFormat chart="10" format="2" series="1">
      <pivotArea type="data" outline="0" fieldPosition="0">
        <references count="2">
          <reference field="4294967294" count="1" selected="0">
            <x v="0"/>
          </reference>
          <reference field="6" count="1" selected="0">
            <x v="3"/>
          </reference>
        </references>
      </pivotArea>
    </chartFormat>
    <chartFormat chart="10" format="3" series="1">
      <pivotArea type="data" outline="0" fieldPosition="0">
        <references count="2">
          <reference field="4294967294" count="1" selected="0">
            <x v="0"/>
          </reference>
          <reference field="6" count="1" selected="0">
            <x v="4"/>
          </reference>
        </references>
      </pivotArea>
    </chartFormat>
    <chartFormat chart="10" format="4" series="1">
      <pivotArea type="data" outline="0" fieldPosition="0">
        <references count="2">
          <reference field="4294967294" count="1" selected="0">
            <x v="0"/>
          </reference>
          <reference field="6" count="1" selected="0">
            <x v="5"/>
          </reference>
        </references>
      </pivotArea>
    </chartFormat>
    <chartFormat chart="10" format="5" series="1">
      <pivotArea type="data" outline="0" fieldPosition="0">
        <references count="2">
          <reference field="4294967294" count="1" selected="0">
            <x v="0"/>
          </reference>
          <reference field="6" count="1" selected="0">
            <x v="6"/>
          </reference>
        </references>
      </pivotArea>
    </chartFormat>
    <chartFormat chart="7" format="6" series="1">
      <pivotArea type="data" outline="0" fieldPosition="0">
        <references count="2">
          <reference field="4294967294" count="1" selected="0">
            <x v="0"/>
          </reference>
          <reference field="6" count="1" selected="0">
            <x v="2"/>
          </reference>
        </references>
      </pivotArea>
    </chartFormat>
    <chartFormat chart="7" format="7" series="1">
      <pivotArea type="data" outline="0" fieldPosition="0">
        <references count="2">
          <reference field="4294967294" count="1" selected="0">
            <x v="0"/>
          </reference>
          <reference field="6" count="1" selected="0">
            <x v="3"/>
          </reference>
        </references>
      </pivotArea>
    </chartFormat>
    <chartFormat chart="7" format="8" series="1">
      <pivotArea type="data" outline="0" fieldPosition="0">
        <references count="2">
          <reference field="4294967294" count="1" selected="0">
            <x v="0"/>
          </reference>
          <reference field="6" count="1" selected="0">
            <x v="4"/>
          </reference>
        </references>
      </pivotArea>
    </chartFormat>
    <chartFormat chart="7" format="9" series="1">
      <pivotArea type="data" outline="0" fieldPosition="0">
        <references count="2">
          <reference field="4294967294" count="1" selected="0">
            <x v="0"/>
          </reference>
          <reference field="6" count="1" selected="0">
            <x v="5"/>
          </reference>
        </references>
      </pivotArea>
    </chartFormat>
    <chartFormat chart="7" format="10" series="1">
      <pivotArea type="data" outline="0" fieldPosition="0">
        <references count="2">
          <reference field="4294967294" count="1" selected="0">
            <x v="0"/>
          </reference>
          <reference field="6" count="1" selected="0">
            <x v="6"/>
          </reference>
        </references>
      </pivotArea>
    </chartFormat>
    <chartFormat chart="10" format="6" series="1">
      <pivotArea type="data" outline="0" fieldPosition="0">
        <references count="2">
          <reference field="4294967294" count="1" selected="0">
            <x v="0"/>
          </reference>
          <reference field="6" count="1" selected="0">
            <x v="1"/>
          </reference>
        </references>
      </pivotArea>
    </chartFormat>
    <chartFormat chart="10" format="7" series="1">
      <pivotArea type="data" outline="0" fieldPosition="0">
        <references count="2">
          <reference field="4294967294" count="1" selected="0">
            <x v="0"/>
          </reference>
          <reference field="1" count="1" selected="0">
            <x v="1"/>
          </reference>
        </references>
      </pivotArea>
    </chartFormat>
    <chartFormat chart="10" format="8" series="1">
      <pivotArea type="data" outline="0" fieldPosition="0">
        <references count="2">
          <reference field="4294967294" count="1" selected="0">
            <x v="0"/>
          </reference>
          <reference field="1" count="1" selected="0">
            <x v="2"/>
          </reference>
        </references>
      </pivotArea>
    </chartFormat>
    <chartFormat chart="10" format="9" series="1">
      <pivotArea type="data" outline="0" fieldPosition="0">
        <references count="2">
          <reference field="4294967294" count="1" selected="0">
            <x v="0"/>
          </reference>
          <reference field="1" count="1" selected="0">
            <x v="3"/>
          </reference>
        </references>
      </pivotArea>
    </chartFormat>
    <chartFormat chart="7" format="11" series="1">
      <pivotArea type="data" outline="0" fieldPosition="0">
        <references count="2">
          <reference field="4294967294" count="1" selected="0">
            <x v="0"/>
          </reference>
          <reference field="1" count="1" selected="0">
            <x v="1"/>
          </reference>
        </references>
      </pivotArea>
    </chartFormat>
    <chartFormat chart="7" format="12" series="1">
      <pivotArea type="data" outline="0" fieldPosition="0">
        <references count="2">
          <reference field="4294967294" count="1" selected="0">
            <x v="0"/>
          </reference>
          <reference field="1" count="1" selected="0">
            <x v="2"/>
          </reference>
        </references>
      </pivotArea>
    </chartFormat>
    <chartFormat chart="7" format="13" series="1">
      <pivotArea type="data" outline="0" fieldPosition="0">
        <references count="2">
          <reference field="4294967294" count="1" selected="0">
            <x v="0"/>
          </reference>
          <reference field="1" count="1" selected="0">
            <x v="3"/>
          </reference>
        </references>
      </pivotArea>
    </chartFormat>
    <chartFormat chart="10" format="10" series="1">
      <pivotArea type="data" outline="0" fieldPosition="0">
        <references count="2">
          <reference field="4294967294" count="1" selected="0">
            <x v="0"/>
          </reference>
          <reference field="1" count="1" selected="0">
            <x v="0"/>
          </reference>
        </references>
      </pivotArea>
    </chartFormat>
    <chartFormat chart="7" format="14" series="1">
      <pivotArea type="data" outline="0" fieldPosition="0">
        <references count="2">
          <reference field="4294967294" count="1" selected="0">
            <x v="0"/>
          </reference>
          <reference field="1"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4394630-3CDD-4BED-B33E-2E169BE7BC94}" name="PivotTable10" cacheId="7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2:J9" firstHeaderRow="0" firstDataRow="1" firstDataCol="1"/>
  <pivotFields count="9">
    <pivotField axis="axisRow" numFmtId="22" showAll="0">
      <items count="21">
        <item x="0"/>
        <item x="1"/>
        <item x="2"/>
        <item x="3"/>
        <item x="4"/>
        <item x="5"/>
        <item x="6"/>
        <item x="7"/>
        <item x="8"/>
        <item x="9"/>
        <item x="10"/>
        <item x="11"/>
        <item x="12"/>
        <item x="13"/>
        <item x="14"/>
        <item x="15"/>
        <item x="16"/>
        <item x="17"/>
        <item x="18"/>
        <item x="19"/>
        <item t="default"/>
      </items>
    </pivotField>
    <pivotField showAll="0"/>
    <pivotField showAll="0"/>
    <pivotField dataField="1" showAll="0"/>
    <pivotField showAll="0"/>
    <pivotField showAll="0"/>
    <pivotField dataField="1"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8"/>
    <field x="7"/>
    <field x="0"/>
  </rowFields>
  <rowItems count="7">
    <i>
      <x v="1"/>
    </i>
    <i>
      <x v="2"/>
    </i>
    <i>
      <x v="3"/>
    </i>
    <i>
      <x v="4"/>
    </i>
    <i>
      <x v="5"/>
    </i>
    <i>
      <x v="6"/>
    </i>
    <i t="grand">
      <x/>
    </i>
  </rowItems>
  <colFields count="1">
    <field x="-2"/>
  </colFields>
  <colItems count="2">
    <i>
      <x/>
    </i>
    <i i="1">
      <x v="1"/>
    </i>
  </colItems>
  <dataFields count="2">
    <dataField name="Sum of Sales" fld="3" baseField="0" baseItem="0"/>
    <dataField name="Sum of avg sale in month" fld="6" baseField="0" baseItem="0"/>
  </dataFields>
  <formats count="6">
    <format dxfId="8">
      <pivotArea type="all" dataOnly="0" outline="0" fieldPosition="0"/>
    </format>
    <format dxfId="7">
      <pivotArea outline="0" collapsedLevelsAreSubtotals="1" fieldPosition="0"/>
    </format>
    <format dxfId="6">
      <pivotArea field="8" type="button" dataOnly="0" labelOnly="1" outline="0" axis="axisRow" fieldPosition="0"/>
    </format>
    <format dxfId="5">
      <pivotArea dataOnly="0" labelOnly="1" fieldPosition="0">
        <references count="1">
          <reference field="8" count="6">
            <x v="1"/>
            <x v="2"/>
            <x v="3"/>
            <x v="4"/>
            <x v="5"/>
            <x v="6"/>
          </reference>
        </references>
      </pivotArea>
    </format>
    <format dxfId="4">
      <pivotArea dataOnly="0" labelOnly="1" grandRow="1" outline="0" fieldPosition="0"/>
    </format>
    <format dxfId="3">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96B8742-676C-4A72-A12C-F021AF330A54}" name="PivotTable13" cacheId="10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H3:I6" firstHeaderRow="1" firstDataRow="1" firstDataCol="1"/>
  <pivotFields count="6">
    <pivotField numFmtId="22" showAll="0"/>
    <pivotField showAll="0"/>
    <pivotField axis="axisRow" showAll="0">
      <items count="4">
        <item x="0"/>
        <item x="1"/>
        <item x="2"/>
        <item t="default"/>
      </items>
    </pivotField>
    <pivotField dataField="1" showAll="0"/>
    <pivotField showAll="0"/>
    <pivotField axis="axisRow" showAll="0">
      <items count="3">
        <item sd="0" x="0"/>
        <item sd="0" x="1"/>
        <item t="default"/>
      </items>
    </pivotField>
  </pivotFields>
  <rowFields count="2">
    <field x="5"/>
    <field x="2"/>
  </rowFields>
  <rowItems count="3">
    <i>
      <x/>
    </i>
    <i>
      <x v="1"/>
    </i>
    <i t="grand">
      <x/>
    </i>
  </rowItems>
  <colItems count="1">
    <i/>
  </colItems>
  <dataFields count="1">
    <dataField name="Sum of Sales" fld="3" baseField="0" baseItem="0"/>
  </dataField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6A3205E4-8435-4A6C-B0F4-F0C3AC33503F}" sourceName="Product">
  <pivotTables>
    <pivotTable tabId="7" name="PivotTable3"/>
  </pivotTables>
  <data>
    <tabular pivotCacheId="214706366">
      <items count="3">
        <i x="2"/>
        <i x="0" s="1"/>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1" xr10:uid="{9E78E0D0-0B3F-44E4-B5E7-E55F084D7CD0}" sourceName="Product">
  <pivotTables>
    <pivotTable tabId="9" name="PivotTable4"/>
  </pivotTables>
  <data>
    <tabular pivotCacheId="1482181148">
      <items count="3">
        <i x="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2AFD61C4-352C-4706-8454-FA3E87BF5480}" cache="Slicer_Product" caption="Product"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1" xr10:uid="{91636C2C-C73A-4587-B204-45A707E48D9C}" cache="Slicer_Product1" caption="Product" rowHeight="251883"/>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1.bin"/><Relationship Id="rId1" Type="http://schemas.openxmlformats.org/officeDocument/2006/relationships/pivotTable" Target="../pivotTables/pivotTable4.xml"/><Relationship Id="rId4" Type="http://schemas.microsoft.com/office/2007/relationships/slicer" Target="../slicers/slicer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2CA0F-48C6-42D5-8A88-B18D94356957}">
  <dimension ref="A3:B8"/>
  <sheetViews>
    <sheetView workbookViewId="0">
      <selection activeCell="B7" sqref="B7"/>
    </sheetView>
  </sheetViews>
  <sheetFormatPr defaultRowHeight="14.5" x14ac:dyDescent="0.35"/>
  <cols>
    <col min="1" max="1" width="12.453125" bestFit="1" customWidth="1"/>
    <col min="2" max="2" width="11.54296875" bestFit="1" customWidth="1"/>
    <col min="3" max="4" width="15.6328125" bestFit="1" customWidth="1"/>
    <col min="5" max="5" width="10.36328125" bestFit="1" customWidth="1"/>
  </cols>
  <sheetData>
    <row r="3" spans="1:2" x14ac:dyDescent="0.35">
      <c r="A3" s="9" t="s">
        <v>14</v>
      </c>
      <c r="B3" s="10" t="s">
        <v>15</v>
      </c>
    </row>
    <row r="4" spans="1:2" x14ac:dyDescent="0.35">
      <c r="A4" s="11" t="s">
        <v>10</v>
      </c>
      <c r="B4" s="12">
        <v>467</v>
      </c>
    </row>
    <row r="5" spans="1:2" x14ac:dyDescent="0.35">
      <c r="A5" s="11" t="s">
        <v>11</v>
      </c>
      <c r="B5" s="12">
        <v>347</v>
      </c>
    </row>
    <row r="6" spans="1:2" x14ac:dyDescent="0.35">
      <c r="A6" s="11" t="s">
        <v>7</v>
      </c>
      <c r="B6" s="12">
        <v>2518</v>
      </c>
    </row>
    <row r="7" spans="1:2" x14ac:dyDescent="0.35">
      <c r="A7" s="11" t="s">
        <v>5</v>
      </c>
      <c r="B7" s="12">
        <v>3497</v>
      </c>
    </row>
    <row r="8" spans="1:2" x14ac:dyDescent="0.35">
      <c r="A8" s="11" t="s">
        <v>13</v>
      </c>
      <c r="B8" s="12">
        <v>6829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C12631-417A-4833-889C-22CC8570C3CC}">
  <dimension ref="A1:E21"/>
  <sheetViews>
    <sheetView workbookViewId="0">
      <selection activeCell="D2" sqref="D2"/>
    </sheetView>
  </sheetViews>
  <sheetFormatPr defaultRowHeight="14.5" x14ac:dyDescent="0.35"/>
  <cols>
    <col min="1" max="1" width="14.54296875" bestFit="1" customWidth="1"/>
    <col min="2" max="2" width="6.453125" bestFit="1" customWidth="1"/>
    <col min="3" max="3" width="8.453125" bestFit="1" customWidth="1"/>
    <col min="4" max="4" width="5" bestFit="1" customWidth="1"/>
    <col min="5" max="5" width="8.1796875" bestFit="1" customWidth="1"/>
  </cols>
  <sheetData>
    <row r="1" spans="1:5" ht="15" thickBot="1" x14ac:dyDescent="0.4">
      <c r="A1" s="1" t="s">
        <v>0</v>
      </c>
      <c r="B1" s="2" t="s">
        <v>1</v>
      </c>
      <c r="C1" s="2" t="s">
        <v>2</v>
      </c>
      <c r="D1" s="2" t="s">
        <v>3</v>
      </c>
      <c r="E1" s="2" t="s">
        <v>4</v>
      </c>
    </row>
    <row r="2" spans="1:5" ht="15" thickBot="1" x14ac:dyDescent="0.4">
      <c r="A2" s="3">
        <v>45292</v>
      </c>
      <c r="B2" s="4" t="s">
        <v>5</v>
      </c>
      <c r="C2" s="4" t="s">
        <v>6</v>
      </c>
      <c r="D2" s="5">
        <v>456</v>
      </c>
      <c r="E2" s="5">
        <v>93</v>
      </c>
    </row>
    <row r="3" spans="1:5" ht="15" thickBot="1" x14ac:dyDescent="0.4">
      <c r="A3" s="3">
        <v>45301.526319444441</v>
      </c>
      <c r="B3" s="4" t="s">
        <v>7</v>
      </c>
      <c r="C3" s="4" t="s">
        <v>8</v>
      </c>
      <c r="D3" s="5">
        <v>348</v>
      </c>
      <c r="E3" s="5">
        <v>56</v>
      </c>
    </row>
    <row r="4" spans="1:5" ht="15" thickBot="1" x14ac:dyDescent="0.4">
      <c r="A4" s="3">
        <v>45311.052627314813</v>
      </c>
      <c r="B4" s="4" t="s">
        <v>7</v>
      </c>
      <c r="C4" s="4" t="s">
        <v>6</v>
      </c>
      <c r="D4" s="5">
        <v>247</v>
      </c>
      <c r="E4" s="5">
        <v>76</v>
      </c>
    </row>
    <row r="5" spans="1:5" ht="15" thickBot="1" x14ac:dyDescent="0.4">
      <c r="A5" s="3">
        <v>45320.578946759262</v>
      </c>
      <c r="B5" s="4" t="s">
        <v>5</v>
      </c>
      <c r="C5" s="4" t="s">
        <v>9</v>
      </c>
      <c r="D5" s="5">
        <v>230</v>
      </c>
      <c r="E5" s="5">
        <v>37</v>
      </c>
    </row>
    <row r="6" spans="1:5" ht="15" thickBot="1" x14ac:dyDescent="0.4">
      <c r="A6" s="3">
        <v>45330.105266203704</v>
      </c>
      <c r="B6" s="4" t="s">
        <v>5</v>
      </c>
      <c r="C6" s="4" t="s">
        <v>6</v>
      </c>
      <c r="D6" s="5">
        <v>281</v>
      </c>
      <c r="E6" s="5">
        <v>50</v>
      </c>
    </row>
    <row r="7" spans="1:5" ht="15" thickBot="1" x14ac:dyDescent="0.4">
      <c r="A7" s="3">
        <v>45339.631574074076</v>
      </c>
      <c r="B7" s="4" t="s">
        <v>5</v>
      </c>
      <c r="C7" s="4" t="s">
        <v>8</v>
      </c>
      <c r="D7" s="5">
        <v>334</v>
      </c>
      <c r="E7" s="5">
        <v>52</v>
      </c>
    </row>
    <row r="8" spans="1:5" ht="15" thickBot="1" x14ac:dyDescent="0.4">
      <c r="A8" s="3">
        <v>45349.157893518517</v>
      </c>
      <c r="B8" s="4" t="s">
        <v>7</v>
      </c>
      <c r="C8" s="4" t="s">
        <v>9</v>
      </c>
      <c r="D8" s="5">
        <v>417</v>
      </c>
      <c r="E8" s="5">
        <v>29</v>
      </c>
    </row>
    <row r="9" spans="1:5" ht="15" thickBot="1" x14ac:dyDescent="0.4">
      <c r="A9" s="3">
        <v>45358.684212962966</v>
      </c>
      <c r="B9" s="4" t="s">
        <v>5</v>
      </c>
      <c r="C9" s="4" t="s">
        <v>9</v>
      </c>
      <c r="D9" s="5">
        <v>441</v>
      </c>
      <c r="E9" s="5">
        <v>44</v>
      </c>
    </row>
    <row r="10" spans="1:5" ht="15" thickBot="1" x14ac:dyDescent="0.4">
      <c r="A10" s="3">
        <v>45368.210520833331</v>
      </c>
      <c r="B10" s="4" t="s">
        <v>7</v>
      </c>
      <c r="C10" s="4" t="s">
        <v>6</v>
      </c>
      <c r="D10" s="5">
        <v>76</v>
      </c>
      <c r="E10" s="5">
        <v>63</v>
      </c>
    </row>
    <row r="11" spans="1:5" ht="15" thickBot="1" x14ac:dyDescent="0.4">
      <c r="A11" s="3">
        <v>45377.736840277779</v>
      </c>
      <c r="B11" s="4" t="s">
        <v>5</v>
      </c>
      <c r="C11" s="4" t="s">
        <v>8</v>
      </c>
      <c r="D11" s="5">
        <v>441</v>
      </c>
      <c r="E11" s="5">
        <v>79</v>
      </c>
    </row>
    <row r="12" spans="1:5" ht="15" thickBot="1" x14ac:dyDescent="0.4">
      <c r="A12" s="3">
        <v>45387.263159722221</v>
      </c>
      <c r="B12" s="4" t="s">
        <v>7</v>
      </c>
      <c r="C12" s="4" t="s">
        <v>6</v>
      </c>
      <c r="D12" s="5">
        <v>205</v>
      </c>
      <c r="E12" s="5">
        <v>23</v>
      </c>
    </row>
    <row r="13" spans="1:5" ht="15" thickBot="1" x14ac:dyDescent="0.4">
      <c r="A13" s="3">
        <v>45396.789479166669</v>
      </c>
      <c r="B13" s="4" t="s">
        <v>5</v>
      </c>
      <c r="C13" s="4" t="s">
        <v>8</v>
      </c>
      <c r="D13" s="5">
        <v>483</v>
      </c>
      <c r="E13" s="5">
        <v>97</v>
      </c>
    </row>
    <row r="14" spans="1:5" ht="15" thickBot="1" x14ac:dyDescent="0.4">
      <c r="A14" s="3">
        <v>45406.315787037034</v>
      </c>
      <c r="B14" s="4" t="s">
        <v>10</v>
      </c>
      <c r="C14" s="4" t="s">
        <v>6</v>
      </c>
      <c r="D14" s="5">
        <v>467</v>
      </c>
      <c r="E14" s="5">
        <v>97</v>
      </c>
    </row>
    <row r="15" spans="1:5" ht="15" thickBot="1" x14ac:dyDescent="0.4">
      <c r="A15" s="3">
        <v>45415.842106481483</v>
      </c>
      <c r="B15" s="4" t="s">
        <v>5</v>
      </c>
      <c r="C15" s="4" t="s">
        <v>6</v>
      </c>
      <c r="D15" s="5">
        <v>380</v>
      </c>
      <c r="E15" s="5">
        <v>92</v>
      </c>
    </row>
    <row r="16" spans="1:5" ht="15" thickBot="1" x14ac:dyDescent="0.4">
      <c r="A16" s="3">
        <v>45425.368425925924</v>
      </c>
      <c r="B16" s="4" t="s">
        <v>7</v>
      </c>
      <c r="C16" s="4" t="s">
        <v>8</v>
      </c>
      <c r="D16" s="5">
        <v>497</v>
      </c>
      <c r="E16" s="5">
        <v>71</v>
      </c>
    </row>
    <row r="17" spans="1:5" ht="15" thickBot="1" x14ac:dyDescent="0.4">
      <c r="A17" s="3">
        <v>45434.894733796296</v>
      </c>
      <c r="B17" s="4" t="s">
        <v>7</v>
      </c>
      <c r="C17" s="4" t="s">
        <v>6</v>
      </c>
      <c r="D17" s="5">
        <v>409</v>
      </c>
      <c r="E17" s="5">
        <v>81</v>
      </c>
    </row>
    <row r="18" spans="1:5" ht="15" thickBot="1" x14ac:dyDescent="0.4">
      <c r="A18" s="3">
        <v>45444.421053240738</v>
      </c>
      <c r="B18" s="4" t="s">
        <v>5</v>
      </c>
      <c r="C18" s="4" t="s">
        <v>8</v>
      </c>
      <c r="D18" s="5">
        <v>53</v>
      </c>
      <c r="E18" s="5">
        <v>45</v>
      </c>
    </row>
    <row r="19" spans="1:5" ht="15" thickBot="1" x14ac:dyDescent="0.4">
      <c r="A19" s="3">
        <v>45453.947372685187</v>
      </c>
      <c r="B19" s="4" t="s">
        <v>5</v>
      </c>
      <c r="C19" s="4" t="s">
        <v>9</v>
      </c>
      <c r="D19" s="5">
        <v>398</v>
      </c>
      <c r="E19" s="5">
        <v>33</v>
      </c>
    </row>
    <row r="20" spans="1:5" ht="15" thickBot="1" x14ac:dyDescent="0.4">
      <c r="A20" s="3">
        <v>45463.473680555559</v>
      </c>
      <c r="B20" s="4" t="s">
        <v>11</v>
      </c>
      <c r="C20" s="4" t="s">
        <v>8</v>
      </c>
      <c r="D20" s="5">
        <v>347</v>
      </c>
      <c r="E20" s="5">
        <v>35</v>
      </c>
    </row>
    <row r="21" spans="1:5" ht="15" thickBot="1" x14ac:dyDescent="0.4">
      <c r="A21" s="3">
        <v>45473</v>
      </c>
      <c r="B21" s="4" t="s">
        <v>7</v>
      </c>
      <c r="C21" s="4" t="s">
        <v>9</v>
      </c>
      <c r="D21" s="5">
        <v>319</v>
      </c>
      <c r="E21" s="5">
        <v>45</v>
      </c>
    </row>
  </sheetData>
  <conditionalFormatting sqref="D2:D21">
    <cfRule type="cellIs" dxfId="2" priority="1" operator="greaterThan">
      <formula>400</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A69A2-5617-4772-9F00-702FD6ADA2FC}">
  <dimension ref="A1:G21"/>
  <sheetViews>
    <sheetView tabSelected="1" topLeftCell="A5" workbookViewId="0">
      <selection activeCell="G18" sqref="G18"/>
    </sheetView>
  </sheetViews>
  <sheetFormatPr defaultRowHeight="14.5" x14ac:dyDescent="0.35"/>
  <cols>
    <col min="1" max="1" width="14.54296875" bestFit="1" customWidth="1"/>
    <col min="2" max="2" width="6.453125" bestFit="1" customWidth="1"/>
    <col min="3" max="3" width="8.453125" bestFit="1" customWidth="1"/>
    <col min="4" max="4" width="5" bestFit="1" customWidth="1"/>
    <col min="5" max="5" width="8.1796875" bestFit="1" customWidth="1"/>
    <col min="6" max="6" width="12.453125" bestFit="1" customWidth="1"/>
    <col min="7" max="7" width="11.54296875" bestFit="1" customWidth="1"/>
    <col min="8" max="8" width="8.1796875" bestFit="1" customWidth="1"/>
    <col min="9" max="9" width="7.6328125" bestFit="1" customWidth="1"/>
    <col min="10" max="10" width="10.36328125" bestFit="1" customWidth="1"/>
    <col min="11" max="11" width="8.1796875" bestFit="1" customWidth="1"/>
    <col min="12" max="12" width="7.6328125" bestFit="1" customWidth="1"/>
    <col min="13" max="13" width="18.81640625" bestFit="1" customWidth="1"/>
    <col min="14" max="14" width="16.08984375" bestFit="1" customWidth="1"/>
    <col min="15" max="15" width="13.26953125" bestFit="1" customWidth="1"/>
    <col min="16" max="16" width="14.26953125" bestFit="1" customWidth="1"/>
    <col min="17" max="17" width="12.1796875" bestFit="1" customWidth="1"/>
    <col min="18" max="18" width="14.26953125" bestFit="1" customWidth="1"/>
    <col min="19" max="21" width="13.26953125" bestFit="1" customWidth="1"/>
    <col min="22" max="22" width="14.26953125" bestFit="1" customWidth="1"/>
    <col min="23" max="23" width="13.26953125" bestFit="1" customWidth="1"/>
    <col min="24" max="25" width="14.26953125" bestFit="1" customWidth="1"/>
    <col min="26" max="26" width="13.26953125" bestFit="1" customWidth="1"/>
    <col min="27" max="28" width="10.36328125" bestFit="1" customWidth="1"/>
  </cols>
  <sheetData>
    <row r="1" spans="1:7" ht="15" thickBot="1" x14ac:dyDescent="0.4">
      <c r="A1" s="1" t="s">
        <v>0</v>
      </c>
      <c r="B1" s="2" t="s">
        <v>1</v>
      </c>
      <c r="C1" s="2" t="s">
        <v>2</v>
      </c>
      <c r="D1" s="2" t="s">
        <v>3</v>
      </c>
      <c r="E1" s="2" t="s">
        <v>4</v>
      </c>
    </row>
    <row r="2" spans="1:7" ht="15" thickBot="1" x14ac:dyDescent="0.4">
      <c r="A2" s="3">
        <v>45292</v>
      </c>
      <c r="B2" s="4" t="s">
        <v>5</v>
      </c>
      <c r="C2" s="4" t="s">
        <v>6</v>
      </c>
      <c r="D2" s="5">
        <v>456</v>
      </c>
      <c r="E2" s="5">
        <v>93</v>
      </c>
    </row>
    <row r="3" spans="1:7" ht="15" thickBot="1" x14ac:dyDescent="0.4">
      <c r="A3" s="3">
        <v>45301.526319444441</v>
      </c>
      <c r="B3" s="4" t="s">
        <v>7</v>
      </c>
      <c r="C3" s="4" t="s">
        <v>8</v>
      </c>
      <c r="D3" s="5">
        <v>348</v>
      </c>
      <c r="E3" s="5">
        <v>56</v>
      </c>
    </row>
    <row r="4" spans="1:7" ht="15" thickBot="1" x14ac:dyDescent="0.4">
      <c r="A4" s="3">
        <v>45311.052627314813</v>
      </c>
      <c r="B4" s="4" t="s">
        <v>7</v>
      </c>
      <c r="C4" s="4" t="s">
        <v>6</v>
      </c>
      <c r="D4" s="5">
        <v>247</v>
      </c>
      <c r="E4" s="5">
        <v>76</v>
      </c>
    </row>
    <row r="5" spans="1:7" ht="15" thickBot="1" x14ac:dyDescent="0.4">
      <c r="A5" s="3">
        <v>45320.578946759262</v>
      </c>
      <c r="B5" s="4" t="s">
        <v>5</v>
      </c>
      <c r="C5" s="4" t="s">
        <v>9</v>
      </c>
      <c r="D5" s="5">
        <v>230</v>
      </c>
      <c r="E5" s="5">
        <v>37</v>
      </c>
    </row>
    <row r="6" spans="1:7" ht="15" thickBot="1" x14ac:dyDescent="0.4">
      <c r="A6" s="3">
        <v>45330.105266203704</v>
      </c>
      <c r="B6" s="4" t="s">
        <v>5</v>
      </c>
      <c r="C6" s="4" t="s">
        <v>6</v>
      </c>
      <c r="D6" s="5">
        <v>281</v>
      </c>
      <c r="E6" s="5">
        <v>50</v>
      </c>
    </row>
    <row r="7" spans="1:7" ht="15" thickBot="1" x14ac:dyDescent="0.4">
      <c r="A7" s="3">
        <v>45339.631574074076</v>
      </c>
      <c r="B7" s="4" t="s">
        <v>5</v>
      </c>
      <c r="C7" s="4" t="s">
        <v>8</v>
      </c>
      <c r="D7" s="5">
        <v>334</v>
      </c>
      <c r="E7" s="13">
        <v>52</v>
      </c>
      <c r="F7" s="9" t="s">
        <v>14</v>
      </c>
      <c r="G7" s="10" t="s">
        <v>15</v>
      </c>
    </row>
    <row r="8" spans="1:7" ht="15" thickBot="1" x14ac:dyDescent="0.4">
      <c r="A8" s="3">
        <v>45349.157893518517</v>
      </c>
      <c r="B8" s="4" t="s">
        <v>7</v>
      </c>
      <c r="C8" s="4" t="s">
        <v>9</v>
      </c>
      <c r="D8" s="5">
        <v>417</v>
      </c>
      <c r="E8" s="13">
        <v>29</v>
      </c>
      <c r="F8" s="11" t="s">
        <v>16</v>
      </c>
      <c r="G8" s="12">
        <v>1281</v>
      </c>
    </row>
    <row r="9" spans="1:7" ht="15" thickBot="1" x14ac:dyDescent="0.4">
      <c r="A9" s="3">
        <v>45358.684212962966</v>
      </c>
      <c r="B9" s="4" t="s">
        <v>5</v>
      </c>
      <c r="C9" s="4" t="s">
        <v>9</v>
      </c>
      <c r="D9" s="5">
        <v>441</v>
      </c>
      <c r="E9" s="13">
        <v>44</v>
      </c>
      <c r="F9" s="11" t="s">
        <v>17</v>
      </c>
      <c r="G9" s="12">
        <v>1032</v>
      </c>
    </row>
    <row r="10" spans="1:7" ht="15" thickBot="1" x14ac:dyDescent="0.4">
      <c r="A10" s="3">
        <v>45368.210520833331</v>
      </c>
      <c r="B10" s="4" t="s">
        <v>7</v>
      </c>
      <c r="C10" s="4" t="s">
        <v>6</v>
      </c>
      <c r="D10" s="5">
        <v>76</v>
      </c>
      <c r="E10" s="13">
        <v>63</v>
      </c>
      <c r="F10" s="11" t="s">
        <v>18</v>
      </c>
      <c r="G10" s="12">
        <v>958</v>
      </c>
    </row>
    <row r="11" spans="1:7" ht="15" thickBot="1" x14ac:dyDescent="0.4">
      <c r="A11" s="3">
        <v>45377.736840277779</v>
      </c>
      <c r="B11" s="4" t="s">
        <v>5</v>
      </c>
      <c r="C11" s="4" t="s">
        <v>8</v>
      </c>
      <c r="D11" s="5">
        <v>441</v>
      </c>
      <c r="E11" s="13">
        <v>79</v>
      </c>
      <c r="F11" s="11" t="s">
        <v>19</v>
      </c>
      <c r="G11" s="12">
        <v>1155</v>
      </c>
    </row>
    <row r="12" spans="1:7" ht="15" thickBot="1" x14ac:dyDescent="0.4">
      <c r="A12" s="3">
        <v>45387.263159722221</v>
      </c>
      <c r="B12" s="4" t="s">
        <v>7</v>
      </c>
      <c r="C12" s="4" t="s">
        <v>6</v>
      </c>
      <c r="D12" s="5">
        <v>205</v>
      </c>
      <c r="E12" s="13">
        <v>23</v>
      </c>
      <c r="F12" s="11" t="s">
        <v>20</v>
      </c>
      <c r="G12" s="12">
        <v>1286</v>
      </c>
    </row>
    <row r="13" spans="1:7" ht="15" thickBot="1" x14ac:dyDescent="0.4">
      <c r="A13" s="3">
        <v>45396.789479166669</v>
      </c>
      <c r="B13" s="4" t="s">
        <v>5</v>
      </c>
      <c r="C13" s="4" t="s">
        <v>8</v>
      </c>
      <c r="D13" s="5">
        <v>483</v>
      </c>
      <c r="E13" s="13">
        <v>97</v>
      </c>
      <c r="F13" s="11" t="s">
        <v>21</v>
      </c>
      <c r="G13" s="12">
        <v>1117</v>
      </c>
    </row>
    <row r="14" spans="1:7" ht="15" thickBot="1" x14ac:dyDescent="0.4">
      <c r="A14" s="3">
        <v>45406.315787037034</v>
      </c>
      <c r="B14" s="4" t="s">
        <v>10</v>
      </c>
      <c r="C14" s="4" t="s">
        <v>6</v>
      </c>
      <c r="D14" s="5">
        <v>467</v>
      </c>
      <c r="E14" s="13">
        <v>97</v>
      </c>
      <c r="F14" s="11" t="s">
        <v>13</v>
      </c>
      <c r="G14" s="12">
        <v>6829</v>
      </c>
    </row>
    <row r="15" spans="1:7" ht="15" thickBot="1" x14ac:dyDescent="0.4">
      <c r="A15" s="3">
        <v>45415.842106481483</v>
      </c>
      <c r="B15" s="4" t="s">
        <v>5</v>
      </c>
      <c r="C15" s="4" t="s">
        <v>6</v>
      </c>
      <c r="D15" s="5">
        <v>380</v>
      </c>
      <c r="E15" s="5">
        <v>92</v>
      </c>
    </row>
    <row r="16" spans="1:7" ht="15" thickBot="1" x14ac:dyDescent="0.4">
      <c r="A16" s="3">
        <v>45425.368425925924</v>
      </c>
      <c r="B16" s="4" t="s">
        <v>7</v>
      </c>
      <c r="C16" s="4" t="s">
        <v>8</v>
      </c>
      <c r="D16" s="5">
        <v>497</v>
      </c>
      <c r="E16" s="5">
        <v>71</v>
      </c>
    </row>
    <row r="17" spans="1:5" ht="15" thickBot="1" x14ac:dyDescent="0.4">
      <c r="A17" s="3">
        <v>45434.894733796296</v>
      </c>
      <c r="B17" s="4" t="s">
        <v>7</v>
      </c>
      <c r="C17" s="4" t="s">
        <v>6</v>
      </c>
      <c r="D17" s="5">
        <v>409</v>
      </c>
      <c r="E17" s="5">
        <v>81</v>
      </c>
    </row>
    <row r="18" spans="1:5" ht="15" thickBot="1" x14ac:dyDescent="0.4">
      <c r="A18" s="3">
        <v>45444.421053240738</v>
      </c>
      <c r="B18" s="4" t="s">
        <v>5</v>
      </c>
      <c r="C18" s="4" t="s">
        <v>8</v>
      </c>
      <c r="D18" s="5">
        <v>53</v>
      </c>
      <c r="E18" s="5">
        <v>45</v>
      </c>
    </row>
    <row r="19" spans="1:5" ht="15" thickBot="1" x14ac:dyDescent="0.4">
      <c r="A19" s="3">
        <v>45453.947372685187</v>
      </c>
      <c r="B19" s="4" t="s">
        <v>5</v>
      </c>
      <c r="C19" s="4" t="s">
        <v>9</v>
      </c>
      <c r="D19" s="5">
        <v>398</v>
      </c>
      <c r="E19" s="5">
        <v>33</v>
      </c>
    </row>
    <row r="20" spans="1:5" ht="15" thickBot="1" x14ac:dyDescent="0.4">
      <c r="A20" s="3">
        <v>45463.473680555559</v>
      </c>
      <c r="B20" s="4" t="s">
        <v>11</v>
      </c>
      <c r="C20" s="4" t="s">
        <v>8</v>
      </c>
      <c r="D20" s="5">
        <v>347</v>
      </c>
      <c r="E20" s="5">
        <v>35</v>
      </c>
    </row>
    <row r="21" spans="1:5" ht="15" thickBot="1" x14ac:dyDescent="0.4">
      <c r="A21" s="3">
        <v>45473</v>
      </c>
      <c r="B21" s="4" t="s">
        <v>7</v>
      </c>
      <c r="C21" s="4" t="s">
        <v>9</v>
      </c>
      <c r="D21" s="5">
        <v>319</v>
      </c>
      <c r="E21" s="5">
        <v>45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A1B21D-2016-4439-ADFF-F55F2B010BF6}">
  <dimension ref="A3:C7"/>
  <sheetViews>
    <sheetView workbookViewId="0">
      <selection activeCell="I4" sqref="I4"/>
    </sheetView>
  </sheetViews>
  <sheetFormatPr defaultRowHeight="14.5" x14ac:dyDescent="0.35"/>
  <cols>
    <col min="1" max="1" width="12.453125" bestFit="1" customWidth="1"/>
    <col min="2" max="2" width="11.54296875" bestFit="1" customWidth="1"/>
    <col min="3" max="3" width="14.26953125" bestFit="1" customWidth="1"/>
    <col min="4" max="4" width="7.6328125" bestFit="1" customWidth="1"/>
    <col min="5" max="5" width="10.36328125" bestFit="1" customWidth="1"/>
  </cols>
  <sheetData>
    <row r="3" spans="1:3" x14ac:dyDescent="0.35">
      <c r="A3" s="6" t="s">
        <v>14</v>
      </c>
      <c r="B3" t="s">
        <v>15</v>
      </c>
      <c r="C3" t="s">
        <v>22</v>
      </c>
    </row>
    <row r="4" spans="1:3" x14ac:dyDescent="0.35">
      <c r="A4" s="7" t="s">
        <v>10</v>
      </c>
      <c r="B4" s="8">
        <v>467</v>
      </c>
      <c r="C4" s="8">
        <v>97</v>
      </c>
    </row>
    <row r="5" spans="1:3" x14ac:dyDescent="0.35">
      <c r="A5" s="7" t="s">
        <v>7</v>
      </c>
      <c r="B5" s="8">
        <v>937</v>
      </c>
      <c r="C5" s="8">
        <v>243</v>
      </c>
    </row>
    <row r="6" spans="1:3" x14ac:dyDescent="0.35">
      <c r="A6" s="7" t="s">
        <v>5</v>
      </c>
      <c r="B6" s="8">
        <v>1117</v>
      </c>
      <c r="C6" s="8">
        <v>235</v>
      </c>
    </row>
    <row r="7" spans="1:3" x14ac:dyDescent="0.35">
      <c r="A7" s="7" t="s">
        <v>13</v>
      </c>
      <c r="B7" s="8">
        <v>2521</v>
      </c>
      <c r="C7" s="8">
        <v>575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CBF65F-60B1-4D26-9B97-7B712EA48E53}">
  <dimension ref="A1:E21"/>
  <sheetViews>
    <sheetView topLeftCell="A5" workbookViewId="0">
      <selection sqref="A1:E21"/>
    </sheetView>
  </sheetViews>
  <sheetFormatPr defaultRowHeight="14.5" x14ac:dyDescent="0.35"/>
  <cols>
    <col min="1" max="1" width="14.54296875" bestFit="1" customWidth="1"/>
    <col min="2" max="2" width="6.453125" bestFit="1" customWidth="1"/>
    <col min="3" max="3" width="8.453125" bestFit="1" customWidth="1"/>
    <col min="4" max="4" width="5" bestFit="1" customWidth="1"/>
    <col min="5" max="5" width="8.1796875" bestFit="1" customWidth="1"/>
  </cols>
  <sheetData>
    <row r="1" spans="1:5" ht="15" thickBot="1" x14ac:dyDescent="0.4">
      <c r="A1" s="1" t="s">
        <v>0</v>
      </c>
      <c r="B1" s="2" t="s">
        <v>1</v>
      </c>
      <c r="C1" s="2" t="s">
        <v>2</v>
      </c>
      <c r="D1" s="2" t="s">
        <v>3</v>
      </c>
      <c r="E1" s="2" t="s">
        <v>4</v>
      </c>
    </row>
    <row r="2" spans="1:5" ht="15" thickBot="1" x14ac:dyDescent="0.4">
      <c r="A2" s="3">
        <v>45406.315787037034</v>
      </c>
      <c r="B2" s="4" t="s">
        <v>10</v>
      </c>
      <c r="C2" s="4" t="s">
        <v>6</v>
      </c>
      <c r="D2" s="5">
        <v>467</v>
      </c>
      <c r="E2" s="5">
        <v>97</v>
      </c>
    </row>
    <row r="3" spans="1:5" ht="15" thickBot="1" x14ac:dyDescent="0.4">
      <c r="A3" s="3">
        <v>45301.526319444441</v>
      </c>
      <c r="B3" s="4" t="s">
        <v>7</v>
      </c>
      <c r="C3" s="4" t="s">
        <v>8</v>
      </c>
      <c r="D3" s="5">
        <v>348</v>
      </c>
      <c r="E3" s="5">
        <v>56</v>
      </c>
    </row>
    <row r="4" spans="1:5" ht="15" thickBot="1" x14ac:dyDescent="0.4">
      <c r="A4" s="3">
        <v>45311.052627314813</v>
      </c>
      <c r="B4" s="4" t="s">
        <v>7</v>
      </c>
      <c r="C4" s="4" t="s">
        <v>6</v>
      </c>
      <c r="D4" s="5">
        <v>247</v>
      </c>
      <c r="E4" s="5">
        <v>76</v>
      </c>
    </row>
    <row r="5" spans="1:5" ht="15" thickBot="1" x14ac:dyDescent="0.4">
      <c r="A5" s="3">
        <v>45320.578946759262</v>
      </c>
      <c r="B5" s="4" t="s">
        <v>5</v>
      </c>
      <c r="C5" s="4" t="s">
        <v>9</v>
      </c>
      <c r="D5" s="5">
        <v>230</v>
      </c>
      <c r="E5" s="5">
        <v>37</v>
      </c>
    </row>
    <row r="6" spans="1:5" ht="15" thickBot="1" x14ac:dyDescent="0.4">
      <c r="A6" s="3">
        <v>45368.210520833331</v>
      </c>
      <c r="B6" s="4" t="s">
        <v>7</v>
      </c>
      <c r="C6" s="4" t="s">
        <v>6</v>
      </c>
      <c r="D6" s="5">
        <v>76</v>
      </c>
      <c r="E6" s="5">
        <v>63</v>
      </c>
    </row>
    <row r="7" spans="1:5" ht="15" thickBot="1" x14ac:dyDescent="0.4">
      <c r="A7" s="3">
        <v>45339.631574074076</v>
      </c>
      <c r="B7" s="4" t="s">
        <v>5</v>
      </c>
      <c r="C7" s="4" t="s">
        <v>8</v>
      </c>
      <c r="D7" s="5">
        <v>334</v>
      </c>
      <c r="E7" s="13">
        <v>52</v>
      </c>
    </row>
    <row r="8" spans="1:5" ht="15" thickBot="1" x14ac:dyDescent="0.4">
      <c r="A8" s="3">
        <v>45349.157893518517</v>
      </c>
      <c r="B8" s="4" t="s">
        <v>7</v>
      </c>
      <c r="C8" s="4" t="s">
        <v>9</v>
      </c>
      <c r="D8" s="5">
        <v>417</v>
      </c>
      <c r="E8" s="13">
        <v>29</v>
      </c>
    </row>
    <row r="9" spans="1:5" ht="15" thickBot="1" x14ac:dyDescent="0.4">
      <c r="A9" s="3">
        <v>45358.684212962966</v>
      </c>
      <c r="B9" s="4" t="s">
        <v>5</v>
      </c>
      <c r="C9" s="4" t="s">
        <v>9</v>
      </c>
      <c r="D9" s="5">
        <v>441</v>
      </c>
      <c r="E9" s="13">
        <v>44</v>
      </c>
    </row>
    <row r="10" spans="1:5" ht="15" thickBot="1" x14ac:dyDescent="0.4">
      <c r="A10" s="3">
        <v>45387.263159722221</v>
      </c>
      <c r="B10" s="4" t="s">
        <v>7</v>
      </c>
      <c r="C10" s="4" t="s">
        <v>6</v>
      </c>
      <c r="D10" s="5">
        <v>205</v>
      </c>
      <c r="E10" s="13">
        <v>23</v>
      </c>
    </row>
    <row r="11" spans="1:5" ht="15" thickBot="1" x14ac:dyDescent="0.4">
      <c r="A11" s="3">
        <v>45377.736840277779</v>
      </c>
      <c r="B11" s="4" t="s">
        <v>5</v>
      </c>
      <c r="C11" s="4" t="s">
        <v>8</v>
      </c>
      <c r="D11" s="5">
        <v>441</v>
      </c>
      <c r="E11" s="13">
        <v>79</v>
      </c>
    </row>
    <row r="12" spans="1:5" ht="15" thickBot="1" x14ac:dyDescent="0.4">
      <c r="A12" s="3">
        <v>45434.894733796296</v>
      </c>
      <c r="B12" s="4" t="s">
        <v>7</v>
      </c>
      <c r="C12" s="4" t="s">
        <v>6</v>
      </c>
      <c r="D12" s="5">
        <v>409</v>
      </c>
      <c r="E12" s="13">
        <v>81</v>
      </c>
    </row>
    <row r="13" spans="1:5" ht="15" thickBot="1" x14ac:dyDescent="0.4">
      <c r="A13" s="3">
        <v>45396.789479166669</v>
      </c>
      <c r="B13" s="4" t="s">
        <v>5</v>
      </c>
      <c r="C13" s="4" t="s">
        <v>8</v>
      </c>
      <c r="D13" s="5">
        <v>483</v>
      </c>
      <c r="E13" s="13">
        <v>97</v>
      </c>
    </row>
    <row r="14" spans="1:5" ht="15" thickBot="1" x14ac:dyDescent="0.4">
      <c r="A14" s="3">
        <v>45292</v>
      </c>
      <c r="B14" s="4" t="s">
        <v>5</v>
      </c>
      <c r="C14" s="4" t="s">
        <v>6</v>
      </c>
      <c r="D14" s="5">
        <v>456</v>
      </c>
      <c r="E14" s="13">
        <v>93</v>
      </c>
    </row>
    <row r="15" spans="1:5" ht="15" thickBot="1" x14ac:dyDescent="0.4">
      <c r="A15" s="3">
        <v>45330.105266203704</v>
      </c>
      <c r="B15" s="4" t="s">
        <v>5</v>
      </c>
      <c r="C15" s="4" t="s">
        <v>6</v>
      </c>
      <c r="D15" s="5">
        <v>281</v>
      </c>
      <c r="E15" s="5">
        <v>50</v>
      </c>
    </row>
    <row r="16" spans="1:5" ht="15" thickBot="1" x14ac:dyDescent="0.4">
      <c r="A16" s="3">
        <v>45425.368425925924</v>
      </c>
      <c r="B16" s="4" t="s">
        <v>7</v>
      </c>
      <c r="C16" s="4" t="s">
        <v>8</v>
      </c>
      <c r="D16" s="5">
        <v>497</v>
      </c>
      <c r="E16" s="5">
        <v>71</v>
      </c>
    </row>
    <row r="17" spans="1:5" ht="15" thickBot="1" x14ac:dyDescent="0.4">
      <c r="A17" s="3">
        <v>45415.842106481483</v>
      </c>
      <c r="B17" s="4" t="s">
        <v>5</v>
      </c>
      <c r="C17" s="4" t="s">
        <v>6</v>
      </c>
      <c r="D17" s="5">
        <v>380</v>
      </c>
      <c r="E17" s="5">
        <v>92</v>
      </c>
    </row>
    <row r="18" spans="1:5" ht="15" thickBot="1" x14ac:dyDescent="0.4">
      <c r="A18" s="3">
        <v>45444.421053240738</v>
      </c>
      <c r="B18" s="4" t="s">
        <v>5</v>
      </c>
      <c r="C18" s="4" t="s">
        <v>8</v>
      </c>
      <c r="D18" s="5">
        <v>53</v>
      </c>
      <c r="E18" s="5">
        <v>45</v>
      </c>
    </row>
    <row r="19" spans="1:5" ht="15" thickBot="1" x14ac:dyDescent="0.4">
      <c r="A19" s="3">
        <v>45453.947372685187</v>
      </c>
      <c r="B19" s="4" t="s">
        <v>5</v>
      </c>
      <c r="C19" s="4" t="s">
        <v>9</v>
      </c>
      <c r="D19" s="5">
        <v>398</v>
      </c>
      <c r="E19" s="5">
        <v>33</v>
      </c>
    </row>
    <row r="20" spans="1:5" ht="15" thickBot="1" x14ac:dyDescent="0.4">
      <c r="A20" s="3">
        <v>45463.473680555559</v>
      </c>
      <c r="B20" s="4" t="s">
        <v>11</v>
      </c>
      <c r="C20" s="4" t="s">
        <v>8</v>
      </c>
      <c r="D20" s="5">
        <v>347</v>
      </c>
      <c r="E20" s="5">
        <v>35</v>
      </c>
    </row>
    <row r="21" spans="1:5" ht="15" thickBot="1" x14ac:dyDescent="0.4">
      <c r="A21" s="3">
        <v>45473</v>
      </c>
      <c r="B21" s="4" t="s">
        <v>7</v>
      </c>
      <c r="C21" s="4" t="s">
        <v>9</v>
      </c>
      <c r="D21" s="5">
        <v>319</v>
      </c>
      <c r="E21" s="5">
        <v>45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CCC0DE-ACAE-4B82-BC0E-911345903387}">
  <sheetPr filterMode="1"/>
  <dimension ref="A1:E21"/>
  <sheetViews>
    <sheetView workbookViewId="0">
      <selection activeCell="B16" sqref="B16"/>
    </sheetView>
  </sheetViews>
  <sheetFormatPr defaultRowHeight="14.5" x14ac:dyDescent="0.35"/>
  <cols>
    <col min="1" max="1" width="14.54296875" bestFit="1" customWidth="1"/>
    <col min="2" max="2" width="6.453125" bestFit="1" customWidth="1"/>
    <col min="3" max="3" width="8.453125" bestFit="1" customWidth="1"/>
    <col min="4" max="4" width="5" bestFit="1" customWidth="1"/>
    <col min="5" max="5" width="8.1796875" bestFit="1" customWidth="1"/>
  </cols>
  <sheetData>
    <row r="1" spans="1:5" ht="15" thickBot="1" x14ac:dyDescent="0.4">
      <c r="A1" s="1" t="s">
        <v>0</v>
      </c>
      <c r="B1" s="2" t="s">
        <v>1</v>
      </c>
      <c r="C1" s="2" t="s">
        <v>2</v>
      </c>
      <c r="D1" s="2" t="s">
        <v>3</v>
      </c>
      <c r="E1" s="2" t="s">
        <v>4</v>
      </c>
    </row>
    <row r="2" spans="1:5" ht="15" hidden="1" thickBot="1" x14ac:dyDescent="0.4">
      <c r="A2" s="3">
        <v>45406.315787037034</v>
      </c>
      <c r="B2" s="4" t="s">
        <v>10</v>
      </c>
      <c r="C2" s="4" t="s">
        <v>6</v>
      </c>
      <c r="D2" s="5">
        <v>467</v>
      </c>
      <c r="E2" s="5">
        <v>97</v>
      </c>
    </row>
    <row r="3" spans="1:5" ht="15" hidden="1" thickBot="1" x14ac:dyDescent="0.4">
      <c r="A3" s="3">
        <v>45463.473680555559</v>
      </c>
      <c r="B3" s="4" t="s">
        <v>11</v>
      </c>
      <c r="C3" s="4" t="s">
        <v>8</v>
      </c>
      <c r="D3" s="5">
        <v>347</v>
      </c>
      <c r="E3" s="5">
        <v>35</v>
      </c>
    </row>
    <row r="4" spans="1:5" ht="15" hidden="1" thickBot="1" x14ac:dyDescent="0.4">
      <c r="A4" s="3">
        <v>45301.526319444441</v>
      </c>
      <c r="B4" s="4" t="s">
        <v>7</v>
      </c>
      <c r="C4" s="4" t="s">
        <v>8</v>
      </c>
      <c r="D4" s="5">
        <v>348</v>
      </c>
      <c r="E4" s="5">
        <v>56</v>
      </c>
    </row>
    <row r="5" spans="1:5" ht="15" hidden="1" thickBot="1" x14ac:dyDescent="0.4">
      <c r="A5" s="3">
        <v>45311.052627314813</v>
      </c>
      <c r="B5" s="4" t="s">
        <v>7</v>
      </c>
      <c r="C5" s="4" t="s">
        <v>6</v>
      </c>
      <c r="D5" s="5">
        <v>247</v>
      </c>
      <c r="E5" s="5">
        <v>76</v>
      </c>
    </row>
    <row r="6" spans="1:5" ht="15" thickBot="1" x14ac:dyDescent="0.4">
      <c r="A6" s="3">
        <v>45349.157893518517</v>
      </c>
      <c r="B6" s="4" t="s">
        <v>7</v>
      </c>
      <c r="C6" s="4" t="s">
        <v>9</v>
      </c>
      <c r="D6" s="5">
        <v>417</v>
      </c>
      <c r="E6" s="5">
        <v>29</v>
      </c>
    </row>
    <row r="7" spans="1:5" ht="15" hidden="1" thickBot="1" x14ac:dyDescent="0.4">
      <c r="A7" s="3">
        <v>45368.210520833331</v>
      </c>
      <c r="B7" s="4" t="s">
        <v>7</v>
      </c>
      <c r="C7" s="4" t="s">
        <v>6</v>
      </c>
      <c r="D7" s="5">
        <v>76</v>
      </c>
      <c r="E7" s="5">
        <v>63</v>
      </c>
    </row>
    <row r="8" spans="1:5" ht="15" hidden="1" thickBot="1" x14ac:dyDescent="0.4">
      <c r="A8" s="3">
        <v>45387.263159722221</v>
      </c>
      <c r="B8" s="4" t="s">
        <v>7</v>
      </c>
      <c r="C8" s="4" t="s">
        <v>6</v>
      </c>
      <c r="D8" s="5">
        <v>205</v>
      </c>
      <c r="E8" s="5">
        <v>23</v>
      </c>
    </row>
    <row r="9" spans="1:5" ht="15" hidden="1" thickBot="1" x14ac:dyDescent="0.4">
      <c r="A9" s="3">
        <v>45425.368425925924</v>
      </c>
      <c r="B9" s="4" t="s">
        <v>7</v>
      </c>
      <c r="C9" s="4" t="s">
        <v>8</v>
      </c>
      <c r="D9" s="5">
        <v>497</v>
      </c>
      <c r="E9" s="5">
        <v>71</v>
      </c>
    </row>
    <row r="10" spans="1:5" ht="15" hidden="1" thickBot="1" x14ac:dyDescent="0.4">
      <c r="A10" s="3">
        <v>45434.894733796296</v>
      </c>
      <c r="B10" s="4" t="s">
        <v>7</v>
      </c>
      <c r="C10" s="4" t="s">
        <v>6</v>
      </c>
      <c r="D10" s="5">
        <v>409</v>
      </c>
      <c r="E10" s="5">
        <v>81</v>
      </c>
    </row>
    <row r="11" spans="1:5" ht="15" thickBot="1" x14ac:dyDescent="0.4">
      <c r="A11" s="3">
        <v>45473</v>
      </c>
      <c r="B11" s="4" t="s">
        <v>7</v>
      </c>
      <c r="C11" s="4" t="s">
        <v>9</v>
      </c>
      <c r="D11" s="5">
        <v>319</v>
      </c>
      <c r="E11" s="5">
        <v>45</v>
      </c>
    </row>
    <row r="12" spans="1:5" ht="15" hidden="1" thickBot="1" x14ac:dyDescent="0.4">
      <c r="A12" s="3">
        <v>45292</v>
      </c>
      <c r="B12" s="4" t="s">
        <v>5</v>
      </c>
      <c r="C12" s="4" t="s">
        <v>6</v>
      </c>
      <c r="D12" s="5">
        <v>456</v>
      </c>
      <c r="E12" s="5">
        <v>93</v>
      </c>
    </row>
    <row r="13" spans="1:5" ht="15" thickBot="1" x14ac:dyDescent="0.4">
      <c r="A13" s="3">
        <v>45320.578946759262</v>
      </c>
      <c r="B13" s="4" t="s">
        <v>5</v>
      </c>
      <c r="C13" s="4" t="s">
        <v>9</v>
      </c>
      <c r="D13" s="5">
        <v>230</v>
      </c>
      <c r="E13" s="5">
        <v>37</v>
      </c>
    </row>
    <row r="14" spans="1:5" ht="15" hidden="1" thickBot="1" x14ac:dyDescent="0.4">
      <c r="A14" s="3">
        <v>45330.105266203704</v>
      </c>
      <c r="B14" s="4" t="s">
        <v>5</v>
      </c>
      <c r="C14" s="4" t="s">
        <v>6</v>
      </c>
      <c r="D14" s="5">
        <v>281</v>
      </c>
      <c r="E14" s="5">
        <v>50</v>
      </c>
    </row>
    <row r="15" spans="1:5" ht="15" hidden="1" thickBot="1" x14ac:dyDescent="0.4">
      <c r="A15" s="3">
        <v>45339.631574074076</v>
      </c>
      <c r="B15" s="4" t="s">
        <v>5</v>
      </c>
      <c r="C15" s="4" t="s">
        <v>8</v>
      </c>
      <c r="D15" s="5">
        <v>334</v>
      </c>
      <c r="E15" s="5">
        <v>52</v>
      </c>
    </row>
    <row r="16" spans="1:5" ht="15" thickBot="1" x14ac:dyDescent="0.4">
      <c r="A16" s="3">
        <v>45358.684212962966</v>
      </c>
      <c r="B16" s="4" t="s">
        <v>5</v>
      </c>
      <c r="C16" s="4" t="s">
        <v>9</v>
      </c>
      <c r="D16" s="5">
        <v>441</v>
      </c>
      <c r="E16" s="5">
        <v>44</v>
      </c>
    </row>
    <row r="17" spans="1:5" ht="15" hidden="1" thickBot="1" x14ac:dyDescent="0.4">
      <c r="A17" s="3">
        <v>45377.736840277779</v>
      </c>
      <c r="B17" s="4" t="s">
        <v>5</v>
      </c>
      <c r="C17" s="4" t="s">
        <v>8</v>
      </c>
      <c r="D17" s="5">
        <v>441</v>
      </c>
      <c r="E17" s="5">
        <v>79</v>
      </c>
    </row>
    <row r="18" spans="1:5" ht="15" hidden="1" thickBot="1" x14ac:dyDescent="0.4">
      <c r="A18" s="3">
        <v>45396.789479166669</v>
      </c>
      <c r="B18" s="4" t="s">
        <v>5</v>
      </c>
      <c r="C18" s="4" t="s">
        <v>8</v>
      </c>
      <c r="D18" s="5">
        <v>483</v>
      </c>
      <c r="E18" s="5">
        <v>97</v>
      </c>
    </row>
    <row r="19" spans="1:5" ht="15" hidden="1" thickBot="1" x14ac:dyDescent="0.4">
      <c r="A19" s="3">
        <v>45415.842106481483</v>
      </c>
      <c r="B19" s="4" t="s">
        <v>5</v>
      </c>
      <c r="C19" s="4" t="s">
        <v>6</v>
      </c>
      <c r="D19" s="5">
        <v>380</v>
      </c>
      <c r="E19" s="5">
        <v>92</v>
      </c>
    </row>
    <row r="20" spans="1:5" ht="15" hidden="1" thickBot="1" x14ac:dyDescent="0.4">
      <c r="A20" s="3">
        <v>45444.421053240738</v>
      </c>
      <c r="B20" s="4" t="s">
        <v>5</v>
      </c>
      <c r="C20" s="4" t="s">
        <v>8</v>
      </c>
      <c r="D20" s="5">
        <v>53</v>
      </c>
      <c r="E20" s="5">
        <v>45</v>
      </c>
    </row>
    <row r="21" spans="1:5" ht="15" thickBot="1" x14ac:dyDescent="0.4">
      <c r="A21" s="3">
        <v>45453.947372685187</v>
      </c>
      <c r="B21" s="4" t="s">
        <v>5</v>
      </c>
      <c r="C21" s="4" t="s">
        <v>9</v>
      </c>
      <c r="D21" s="5">
        <v>398</v>
      </c>
      <c r="E21" s="5">
        <v>33</v>
      </c>
    </row>
  </sheetData>
  <autoFilter ref="A1:E21" xr:uid="{BECCC0DE-ACAE-4B82-BC0E-911345903387}">
    <filterColumn colId="2">
      <filters>
        <filter val="Apples"/>
      </filters>
    </filterColumn>
    <sortState xmlns:xlrd2="http://schemas.microsoft.com/office/spreadsheetml/2017/richdata2" ref="A2:E21">
      <sortCondition ref="B1:B21"/>
    </sortState>
  </autoFilter>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9DF4BB-F018-4D6A-A97E-55B15C563394}">
  <dimension ref="A3:F11"/>
  <sheetViews>
    <sheetView workbookViewId="0">
      <selection activeCell="O8" sqref="O8"/>
    </sheetView>
  </sheetViews>
  <sheetFormatPr defaultRowHeight="14.5" x14ac:dyDescent="0.35"/>
  <cols>
    <col min="1" max="1" width="12.453125" bestFit="1" customWidth="1"/>
    <col min="2" max="2" width="15.6328125" bestFit="1" customWidth="1"/>
    <col min="3" max="3" width="5.453125" bestFit="1" customWidth="1"/>
    <col min="4" max="4" width="5.7265625" bestFit="1" customWidth="1"/>
    <col min="5" max="5" width="5" bestFit="1" customWidth="1"/>
    <col min="6" max="6" width="10.36328125" bestFit="1" customWidth="1"/>
    <col min="7" max="7" width="4.81640625" bestFit="1" customWidth="1"/>
    <col min="8" max="8" width="10.36328125" bestFit="1" customWidth="1"/>
    <col min="9" max="10" width="13.26953125" bestFit="1" customWidth="1"/>
    <col min="11" max="11" width="14.26953125" bestFit="1" customWidth="1"/>
    <col min="12" max="12" width="12.1796875" bestFit="1" customWidth="1"/>
    <col min="13" max="13" width="14.26953125" bestFit="1" customWidth="1"/>
    <col min="14" max="16" width="13.26953125" bestFit="1" customWidth="1"/>
    <col min="17" max="17" width="14.26953125" bestFit="1" customWidth="1"/>
    <col min="18" max="18" width="13.26953125" bestFit="1" customWidth="1"/>
    <col min="19" max="20" width="14.26953125" bestFit="1" customWidth="1"/>
    <col min="21" max="21" width="13.26953125" bestFit="1" customWidth="1"/>
    <col min="22" max="22" width="10.36328125" bestFit="1" customWidth="1"/>
  </cols>
  <sheetData>
    <row r="3" spans="1:6" x14ac:dyDescent="0.35">
      <c r="A3" s="6" t="s">
        <v>15</v>
      </c>
      <c r="B3" s="6" t="s">
        <v>12</v>
      </c>
    </row>
    <row r="4" spans="1:6" x14ac:dyDescent="0.35">
      <c r="A4" s="6" t="s">
        <v>14</v>
      </c>
      <c r="B4" t="s">
        <v>10</v>
      </c>
      <c r="C4" t="s">
        <v>11</v>
      </c>
      <c r="D4" t="s">
        <v>7</v>
      </c>
      <c r="E4" t="s">
        <v>5</v>
      </c>
      <c r="F4" t="s">
        <v>13</v>
      </c>
    </row>
    <row r="5" spans="1:6" x14ac:dyDescent="0.35">
      <c r="A5" s="7" t="s">
        <v>16</v>
      </c>
      <c r="B5" s="8"/>
      <c r="C5" s="8"/>
      <c r="D5" s="8">
        <v>595</v>
      </c>
      <c r="E5" s="8">
        <v>456</v>
      </c>
      <c r="F5" s="8">
        <v>1051</v>
      </c>
    </row>
    <row r="6" spans="1:6" x14ac:dyDescent="0.35">
      <c r="A6" s="7" t="s">
        <v>17</v>
      </c>
      <c r="B6" s="8"/>
      <c r="C6" s="8"/>
      <c r="D6" s="8"/>
      <c r="E6" s="8">
        <v>615</v>
      </c>
      <c r="F6" s="8">
        <v>615</v>
      </c>
    </row>
    <row r="7" spans="1:6" x14ac:dyDescent="0.35">
      <c r="A7" s="7" t="s">
        <v>18</v>
      </c>
      <c r="B7" s="8"/>
      <c r="C7" s="8"/>
      <c r="D7" s="8">
        <v>76</v>
      </c>
      <c r="E7" s="8">
        <v>441</v>
      </c>
      <c r="F7" s="8">
        <v>517</v>
      </c>
    </row>
    <row r="8" spans="1:6" x14ac:dyDescent="0.35">
      <c r="A8" s="7" t="s">
        <v>19</v>
      </c>
      <c r="B8" s="8">
        <v>467</v>
      </c>
      <c r="C8" s="8"/>
      <c r="D8" s="8">
        <v>205</v>
      </c>
      <c r="E8" s="8">
        <v>483</v>
      </c>
      <c r="F8" s="8">
        <v>1155</v>
      </c>
    </row>
    <row r="9" spans="1:6" x14ac:dyDescent="0.35">
      <c r="A9" s="7" t="s">
        <v>20</v>
      </c>
      <c r="B9" s="8"/>
      <c r="C9" s="8"/>
      <c r="D9" s="8">
        <v>906</v>
      </c>
      <c r="E9" s="8">
        <v>380</v>
      </c>
      <c r="F9" s="8">
        <v>1286</v>
      </c>
    </row>
    <row r="10" spans="1:6" x14ac:dyDescent="0.35">
      <c r="A10" s="7" t="s">
        <v>21</v>
      </c>
      <c r="B10" s="8"/>
      <c r="C10" s="8">
        <v>347</v>
      </c>
      <c r="D10" s="8"/>
      <c r="E10" s="8">
        <v>53</v>
      </c>
      <c r="F10" s="8">
        <v>400</v>
      </c>
    </row>
    <row r="11" spans="1:6" x14ac:dyDescent="0.35">
      <c r="A11" s="7" t="s">
        <v>13</v>
      </c>
      <c r="B11" s="8">
        <v>467</v>
      </c>
      <c r="C11" s="8">
        <v>347</v>
      </c>
      <c r="D11" s="8">
        <v>1782</v>
      </c>
      <c r="E11" s="8">
        <v>2428</v>
      </c>
      <c r="F11" s="8">
        <v>5024</v>
      </c>
    </row>
  </sheetData>
  <pageMargins left="0.7" right="0.7" top="0.75" bottom="0.75" header="0.3" footer="0.3"/>
  <pageSetup orientation="portrait" r:id="rId2"/>
  <drawing r:id="rId3"/>
  <extLst>
    <ext xmlns:x14="http://schemas.microsoft.com/office/spreadsheetml/2009/9/main" uri="{A8765BA9-456A-4dab-B4F3-ACF838C121DE}">
      <x14:slicerList>
        <x14:slicer r:id="rId4"/>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23A64D-2568-442D-A845-45EA3FE1EFF3}">
  <dimension ref="A1:J21"/>
  <sheetViews>
    <sheetView topLeftCell="A2" workbookViewId="0">
      <selection sqref="A1:E21"/>
    </sheetView>
  </sheetViews>
  <sheetFormatPr defaultRowHeight="14.5" x14ac:dyDescent="0.35"/>
  <cols>
    <col min="1" max="1" width="14.54296875" bestFit="1" customWidth="1"/>
    <col min="2" max="2" width="6.453125" bestFit="1" customWidth="1"/>
    <col min="3" max="3" width="8.453125" bestFit="1" customWidth="1"/>
    <col min="4" max="4" width="5" bestFit="1" customWidth="1"/>
    <col min="5" max="5" width="8.1796875" bestFit="1" customWidth="1"/>
    <col min="6" max="6" width="22.36328125" customWidth="1"/>
    <col min="7" max="7" width="19.81640625" customWidth="1"/>
    <col min="8" max="8" width="12.453125" bestFit="1" customWidth="1"/>
    <col min="9" max="9" width="11.54296875" bestFit="1" customWidth="1"/>
    <col min="10" max="10" width="21.7265625" bestFit="1" customWidth="1"/>
    <col min="11" max="12" width="6.1796875" bestFit="1" customWidth="1"/>
    <col min="13" max="13" width="5.54296875" bestFit="1" customWidth="1"/>
    <col min="14" max="15" width="6.54296875" bestFit="1" customWidth="1"/>
    <col min="16" max="16" width="5.54296875" bestFit="1" customWidth="1"/>
    <col min="17" max="18" width="6.54296875" bestFit="1" customWidth="1"/>
    <col min="19" max="19" width="5.26953125" bestFit="1" customWidth="1"/>
    <col min="20" max="21" width="6.26953125" bestFit="1" customWidth="1"/>
    <col min="22" max="22" width="5.81640625" bestFit="1" customWidth="1"/>
    <col min="23" max="24" width="6.81640625" bestFit="1" customWidth="1"/>
    <col min="25" max="25" width="5.26953125" bestFit="1" customWidth="1"/>
    <col min="26" max="28" width="6.26953125" bestFit="1" customWidth="1"/>
    <col min="29" max="29" width="10.36328125" bestFit="1" customWidth="1"/>
    <col min="30" max="30" width="14.90625" bestFit="1" customWidth="1"/>
    <col min="31" max="31" width="11.54296875" bestFit="1" customWidth="1"/>
    <col min="32" max="32" width="14.90625" bestFit="1" customWidth="1"/>
    <col min="33" max="33" width="11.54296875" bestFit="1" customWidth="1"/>
    <col min="34" max="34" width="14.90625" bestFit="1" customWidth="1"/>
    <col min="35" max="35" width="11.54296875" bestFit="1" customWidth="1"/>
    <col min="36" max="36" width="14.90625" bestFit="1" customWidth="1"/>
    <col min="37" max="37" width="11.54296875" bestFit="1" customWidth="1"/>
    <col min="38" max="38" width="14.90625" bestFit="1" customWidth="1"/>
    <col min="39" max="39" width="11.54296875" bestFit="1" customWidth="1"/>
    <col min="40" max="40" width="14.90625" bestFit="1" customWidth="1"/>
    <col min="41" max="41" width="11.54296875" bestFit="1" customWidth="1"/>
    <col min="42" max="42" width="14.90625" bestFit="1" customWidth="1"/>
    <col min="43" max="43" width="11.54296875" bestFit="1" customWidth="1"/>
    <col min="44" max="44" width="14.90625" bestFit="1" customWidth="1"/>
    <col min="45" max="45" width="11.54296875" bestFit="1" customWidth="1"/>
    <col min="46" max="46" width="14.90625" bestFit="1" customWidth="1"/>
    <col min="47" max="47" width="11.54296875" bestFit="1" customWidth="1"/>
    <col min="48" max="48" width="14.90625" bestFit="1" customWidth="1"/>
    <col min="49" max="49" width="16.08984375" bestFit="1" customWidth="1"/>
    <col min="50" max="50" width="19.453125" bestFit="1" customWidth="1"/>
  </cols>
  <sheetData>
    <row r="1" spans="1:10" ht="17" customHeight="1" x14ac:dyDescent="0.35">
      <c r="A1" s="14" t="s">
        <v>0</v>
      </c>
      <c r="B1" s="14" t="s">
        <v>1</v>
      </c>
      <c r="C1" s="14" t="s">
        <v>2</v>
      </c>
      <c r="D1" s="14" t="s">
        <v>3</v>
      </c>
      <c r="E1" s="14" t="s">
        <v>4</v>
      </c>
      <c r="F1" s="15" t="s">
        <v>25</v>
      </c>
      <c r="G1" s="15" t="s">
        <v>23</v>
      </c>
    </row>
    <row r="2" spans="1:10" x14ac:dyDescent="0.35">
      <c r="A2" s="16">
        <v>45292</v>
      </c>
      <c r="B2" s="17" t="s">
        <v>5</v>
      </c>
      <c r="C2" s="17" t="s">
        <v>6</v>
      </c>
      <c r="D2" s="18">
        <v>456</v>
      </c>
      <c r="E2" s="18">
        <v>93</v>
      </c>
      <c r="F2" s="20">
        <v>1281</v>
      </c>
      <c r="G2" s="10"/>
      <c r="H2" s="9" t="s">
        <v>14</v>
      </c>
      <c r="I2" s="10" t="s">
        <v>15</v>
      </c>
      <c r="J2" s="10" t="s">
        <v>24</v>
      </c>
    </row>
    <row r="3" spans="1:10" x14ac:dyDescent="0.35">
      <c r="A3" s="16">
        <v>45301.526319444441</v>
      </c>
      <c r="B3" s="17" t="s">
        <v>7</v>
      </c>
      <c r="C3" s="17" t="s">
        <v>8</v>
      </c>
      <c r="D3" s="18">
        <v>348</v>
      </c>
      <c r="E3" s="18">
        <v>56</v>
      </c>
      <c r="F3" s="21"/>
      <c r="G3" s="10"/>
      <c r="H3" s="11" t="s">
        <v>16</v>
      </c>
      <c r="I3" s="12">
        <v>1281</v>
      </c>
      <c r="J3" s="12">
        <v>320.25</v>
      </c>
    </row>
    <row r="4" spans="1:10" x14ac:dyDescent="0.35">
      <c r="A4" s="16">
        <v>45311.052627314813</v>
      </c>
      <c r="B4" s="17" t="s">
        <v>7</v>
      </c>
      <c r="C4" s="17" t="s">
        <v>6</v>
      </c>
      <c r="D4" s="18">
        <v>247</v>
      </c>
      <c r="E4" s="18">
        <v>76</v>
      </c>
      <c r="F4" s="21"/>
      <c r="G4" s="10">
        <f>AVERAGE(D2:D5)</f>
        <v>320.25</v>
      </c>
      <c r="H4" s="11" t="s">
        <v>17</v>
      </c>
      <c r="I4" s="12">
        <v>1032</v>
      </c>
      <c r="J4" s="12">
        <v>344</v>
      </c>
    </row>
    <row r="5" spans="1:10" x14ac:dyDescent="0.35">
      <c r="A5" s="16">
        <v>45320.578946759262</v>
      </c>
      <c r="B5" s="17" t="s">
        <v>5</v>
      </c>
      <c r="C5" s="17" t="s">
        <v>9</v>
      </c>
      <c r="D5" s="18">
        <v>230</v>
      </c>
      <c r="E5" s="18">
        <v>37</v>
      </c>
      <c r="F5" s="22"/>
      <c r="G5" s="10"/>
      <c r="H5" s="11" t="s">
        <v>18</v>
      </c>
      <c r="I5" s="12">
        <v>958</v>
      </c>
      <c r="J5" s="12">
        <v>319.33333333333331</v>
      </c>
    </row>
    <row r="6" spans="1:10" x14ac:dyDescent="0.35">
      <c r="A6" s="16">
        <v>45330.105266203704</v>
      </c>
      <c r="B6" s="17" t="s">
        <v>5</v>
      </c>
      <c r="C6" s="17" t="s">
        <v>6</v>
      </c>
      <c r="D6" s="18">
        <v>281</v>
      </c>
      <c r="E6" s="18">
        <v>50</v>
      </c>
      <c r="F6" s="20">
        <v>1032</v>
      </c>
      <c r="G6" s="10"/>
      <c r="H6" s="11" t="s">
        <v>19</v>
      </c>
      <c r="I6" s="12">
        <v>1155</v>
      </c>
      <c r="J6" s="12">
        <v>385</v>
      </c>
    </row>
    <row r="7" spans="1:10" x14ac:dyDescent="0.35">
      <c r="A7" s="16">
        <v>45339.631574074076</v>
      </c>
      <c r="B7" s="17" t="s">
        <v>5</v>
      </c>
      <c r="C7" s="17" t="s">
        <v>8</v>
      </c>
      <c r="D7" s="18">
        <v>334</v>
      </c>
      <c r="E7" s="18">
        <v>52</v>
      </c>
      <c r="F7" s="21"/>
      <c r="G7" s="10">
        <f>AVERAGE(D6:D8)</f>
        <v>344</v>
      </c>
      <c r="H7" s="11" t="s">
        <v>20</v>
      </c>
      <c r="I7" s="12">
        <v>1286</v>
      </c>
      <c r="J7" s="12">
        <v>428.66666666666669</v>
      </c>
    </row>
    <row r="8" spans="1:10" x14ac:dyDescent="0.35">
      <c r="A8" s="16">
        <v>45349.157893518517</v>
      </c>
      <c r="B8" s="17" t="s">
        <v>7</v>
      </c>
      <c r="C8" s="17" t="s">
        <v>9</v>
      </c>
      <c r="D8" s="18">
        <v>417</v>
      </c>
      <c r="E8" s="18">
        <v>29</v>
      </c>
      <c r="F8" s="22"/>
      <c r="G8" s="10"/>
      <c r="H8" s="11" t="s">
        <v>21</v>
      </c>
      <c r="I8" s="12">
        <v>1117</v>
      </c>
      <c r="J8" s="12">
        <v>279.25</v>
      </c>
    </row>
    <row r="9" spans="1:10" x14ac:dyDescent="0.35">
      <c r="A9" s="16">
        <v>45358.684212962966</v>
      </c>
      <c r="B9" s="17" t="s">
        <v>5</v>
      </c>
      <c r="C9" s="17" t="s">
        <v>9</v>
      </c>
      <c r="D9" s="18">
        <v>441</v>
      </c>
      <c r="E9" s="18">
        <v>44</v>
      </c>
      <c r="F9" s="20">
        <v>958</v>
      </c>
      <c r="G9" s="10"/>
      <c r="H9" s="11" t="s">
        <v>13</v>
      </c>
      <c r="I9" s="12">
        <v>6829</v>
      </c>
      <c r="J9" s="12">
        <v>2076.5</v>
      </c>
    </row>
    <row r="10" spans="1:10" x14ac:dyDescent="0.35">
      <c r="A10" s="16">
        <v>45368.210520833331</v>
      </c>
      <c r="B10" s="17" t="s">
        <v>7</v>
      </c>
      <c r="C10" s="17" t="s">
        <v>6</v>
      </c>
      <c r="D10" s="18">
        <v>76</v>
      </c>
      <c r="E10" s="18">
        <v>63</v>
      </c>
      <c r="F10" s="21"/>
      <c r="G10" s="10">
        <f>AVERAGE(D9:D11)</f>
        <v>319.33333333333331</v>
      </c>
    </row>
    <row r="11" spans="1:10" x14ac:dyDescent="0.35">
      <c r="A11" s="16">
        <v>45377.736840277779</v>
      </c>
      <c r="B11" s="17" t="s">
        <v>5</v>
      </c>
      <c r="C11" s="17" t="s">
        <v>8</v>
      </c>
      <c r="D11" s="18">
        <v>441</v>
      </c>
      <c r="E11" s="18">
        <v>79</v>
      </c>
      <c r="F11" s="22"/>
      <c r="G11" s="10"/>
    </row>
    <row r="12" spans="1:10" x14ac:dyDescent="0.35">
      <c r="A12" s="16">
        <v>45387.263159722221</v>
      </c>
      <c r="B12" s="17" t="s">
        <v>7</v>
      </c>
      <c r="C12" s="17" t="s">
        <v>6</v>
      </c>
      <c r="D12" s="18">
        <v>205</v>
      </c>
      <c r="E12" s="18">
        <v>23</v>
      </c>
      <c r="F12" s="20">
        <v>1155</v>
      </c>
      <c r="G12" s="10"/>
    </row>
    <row r="13" spans="1:10" x14ac:dyDescent="0.35">
      <c r="A13" s="16">
        <v>45396.789479166669</v>
      </c>
      <c r="B13" s="17" t="s">
        <v>5</v>
      </c>
      <c r="C13" s="17" t="s">
        <v>8</v>
      </c>
      <c r="D13" s="18">
        <v>483</v>
      </c>
      <c r="E13" s="18">
        <v>97</v>
      </c>
      <c r="F13" s="21"/>
      <c r="G13" s="10">
        <f>AVERAGE(D12:D14)</f>
        <v>385</v>
      </c>
    </row>
    <row r="14" spans="1:10" x14ac:dyDescent="0.35">
      <c r="A14" s="16">
        <v>45406.315787037034</v>
      </c>
      <c r="B14" s="17" t="s">
        <v>10</v>
      </c>
      <c r="C14" s="17" t="s">
        <v>6</v>
      </c>
      <c r="D14" s="18">
        <v>467</v>
      </c>
      <c r="E14" s="18">
        <v>97</v>
      </c>
      <c r="F14" s="22"/>
      <c r="G14" s="10"/>
    </row>
    <row r="15" spans="1:10" x14ac:dyDescent="0.35">
      <c r="A15" s="16">
        <v>45415.842106481483</v>
      </c>
      <c r="B15" s="17" t="s">
        <v>5</v>
      </c>
      <c r="C15" s="17" t="s">
        <v>6</v>
      </c>
      <c r="D15" s="18">
        <v>380</v>
      </c>
      <c r="E15" s="18">
        <v>92</v>
      </c>
      <c r="F15" s="20">
        <v>1286</v>
      </c>
      <c r="G15" s="10"/>
    </row>
    <row r="16" spans="1:10" x14ac:dyDescent="0.35">
      <c r="A16" s="16">
        <v>45425.368425925924</v>
      </c>
      <c r="B16" s="17" t="s">
        <v>7</v>
      </c>
      <c r="C16" s="17" t="s">
        <v>8</v>
      </c>
      <c r="D16" s="18">
        <v>497</v>
      </c>
      <c r="E16" s="18">
        <v>71</v>
      </c>
      <c r="F16" s="21"/>
      <c r="G16" s="10">
        <f>AVERAGE(D15:D17)</f>
        <v>428.66666666666669</v>
      </c>
    </row>
    <row r="17" spans="1:7" x14ac:dyDescent="0.35">
      <c r="A17" s="16">
        <v>45434.894733796296</v>
      </c>
      <c r="B17" s="17" t="s">
        <v>7</v>
      </c>
      <c r="C17" s="17" t="s">
        <v>6</v>
      </c>
      <c r="D17" s="18">
        <v>409</v>
      </c>
      <c r="E17" s="18">
        <v>81</v>
      </c>
      <c r="F17" s="22"/>
      <c r="G17" s="10"/>
    </row>
    <row r="18" spans="1:7" x14ac:dyDescent="0.35">
      <c r="A18" s="16">
        <v>45444.421053240738</v>
      </c>
      <c r="B18" s="17" t="s">
        <v>5</v>
      </c>
      <c r="C18" s="17" t="s">
        <v>8</v>
      </c>
      <c r="D18" s="18">
        <v>53</v>
      </c>
      <c r="E18" s="18">
        <v>45</v>
      </c>
      <c r="F18" s="20">
        <v>1117</v>
      </c>
      <c r="G18" s="10"/>
    </row>
    <row r="19" spans="1:7" x14ac:dyDescent="0.35">
      <c r="A19" s="16">
        <v>45453.947372685187</v>
      </c>
      <c r="B19" s="17" t="s">
        <v>5</v>
      </c>
      <c r="C19" s="17" t="s">
        <v>9</v>
      </c>
      <c r="D19" s="18">
        <v>398</v>
      </c>
      <c r="E19" s="18">
        <v>33</v>
      </c>
      <c r="F19" s="21"/>
      <c r="G19" s="10">
        <f>AVERAGE(D18:D21)</f>
        <v>279.25</v>
      </c>
    </row>
    <row r="20" spans="1:7" x14ac:dyDescent="0.35">
      <c r="A20" s="16">
        <v>45463.473680555559</v>
      </c>
      <c r="B20" s="17" t="s">
        <v>11</v>
      </c>
      <c r="C20" s="17" t="s">
        <v>8</v>
      </c>
      <c r="D20" s="18">
        <v>347</v>
      </c>
      <c r="E20" s="18">
        <v>35</v>
      </c>
      <c r="F20" s="21"/>
      <c r="G20" s="10"/>
    </row>
    <row r="21" spans="1:7" x14ac:dyDescent="0.35">
      <c r="A21" s="16">
        <v>45473</v>
      </c>
      <c r="B21" s="17" t="s">
        <v>7</v>
      </c>
      <c r="C21" s="17" t="s">
        <v>9</v>
      </c>
      <c r="D21" s="18">
        <v>319</v>
      </c>
      <c r="E21" s="18">
        <v>45</v>
      </c>
      <c r="F21" s="22"/>
      <c r="G21" s="10"/>
    </row>
  </sheetData>
  <mergeCells count="6">
    <mergeCell ref="F2:F5"/>
    <mergeCell ref="F6:F8"/>
    <mergeCell ref="F9:F11"/>
    <mergeCell ref="F12:F14"/>
    <mergeCell ref="F15:F17"/>
    <mergeCell ref="F18:F21"/>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6672E9-59B6-47D0-8D3D-B379EC20F151}">
  <dimension ref="A1:I21"/>
  <sheetViews>
    <sheetView topLeftCell="A2" workbookViewId="0">
      <selection activeCell="P6" sqref="P6"/>
    </sheetView>
  </sheetViews>
  <sheetFormatPr defaultRowHeight="14.5" x14ac:dyDescent="0.35"/>
  <cols>
    <col min="1" max="1" width="14.54296875" bestFit="1" customWidth="1"/>
    <col min="2" max="2" width="6.453125" bestFit="1" customWidth="1"/>
    <col min="3" max="3" width="8.453125" bestFit="1" customWidth="1"/>
    <col min="4" max="4" width="5" bestFit="1" customWidth="1"/>
    <col min="5" max="5" width="8.1796875" bestFit="1" customWidth="1"/>
    <col min="8" max="8" width="12.453125" bestFit="1" customWidth="1"/>
    <col min="9" max="9" width="11.54296875" bestFit="1" customWidth="1"/>
  </cols>
  <sheetData>
    <row r="1" spans="1:9" ht="29" x14ac:dyDescent="0.35">
      <c r="A1" s="14" t="s">
        <v>0</v>
      </c>
      <c r="B1" s="14" t="s">
        <v>1</v>
      </c>
      <c r="C1" s="14" t="s">
        <v>2</v>
      </c>
      <c r="D1" s="14" t="s">
        <v>3</v>
      </c>
      <c r="E1" s="14" t="s">
        <v>4</v>
      </c>
      <c r="F1" s="19" t="s">
        <v>26</v>
      </c>
    </row>
    <row r="2" spans="1:9" x14ac:dyDescent="0.35">
      <c r="A2" s="16">
        <v>45320.578946759262</v>
      </c>
      <c r="B2" s="17" t="s">
        <v>5</v>
      </c>
      <c r="C2" s="17" t="s">
        <v>9</v>
      </c>
      <c r="D2" s="18">
        <v>230</v>
      </c>
      <c r="E2" s="18">
        <v>37</v>
      </c>
      <c r="F2" t="s">
        <v>27</v>
      </c>
    </row>
    <row r="3" spans="1:9" x14ac:dyDescent="0.35">
      <c r="A3" s="16">
        <v>45349.157893518517</v>
      </c>
      <c r="B3" s="17" t="s">
        <v>7</v>
      </c>
      <c r="C3" s="17" t="s">
        <v>9</v>
      </c>
      <c r="D3" s="18">
        <v>417</v>
      </c>
      <c r="E3" s="18">
        <v>29</v>
      </c>
      <c r="F3" t="s">
        <v>27</v>
      </c>
      <c r="H3" s="6" t="s">
        <v>14</v>
      </c>
      <c r="I3" t="s">
        <v>15</v>
      </c>
    </row>
    <row r="4" spans="1:9" x14ac:dyDescent="0.35">
      <c r="A4" s="16">
        <v>45358.684212962966</v>
      </c>
      <c r="B4" s="17" t="s">
        <v>5</v>
      </c>
      <c r="C4" s="17" t="s">
        <v>9</v>
      </c>
      <c r="D4" s="18">
        <v>441</v>
      </c>
      <c r="E4" s="18">
        <v>44</v>
      </c>
      <c r="F4" t="s">
        <v>27</v>
      </c>
      <c r="H4" s="7" t="s">
        <v>27</v>
      </c>
      <c r="I4" s="8">
        <v>4308</v>
      </c>
    </row>
    <row r="5" spans="1:9" x14ac:dyDescent="0.35">
      <c r="A5" s="16">
        <v>45453.947372685187</v>
      </c>
      <c r="B5" s="17" t="s">
        <v>5</v>
      </c>
      <c r="C5" s="17" t="s">
        <v>9</v>
      </c>
      <c r="D5" s="18">
        <v>398</v>
      </c>
      <c r="E5" s="18">
        <v>33</v>
      </c>
      <c r="F5" t="s">
        <v>27</v>
      </c>
      <c r="H5" s="7" t="s">
        <v>6</v>
      </c>
      <c r="I5" s="8">
        <v>2521</v>
      </c>
    </row>
    <row r="6" spans="1:9" x14ac:dyDescent="0.35">
      <c r="A6" s="16">
        <v>45473</v>
      </c>
      <c r="B6" s="17" t="s">
        <v>7</v>
      </c>
      <c r="C6" s="17" t="s">
        <v>9</v>
      </c>
      <c r="D6" s="18">
        <v>319</v>
      </c>
      <c r="E6" s="18">
        <v>45</v>
      </c>
      <c r="F6" t="s">
        <v>27</v>
      </c>
      <c r="H6" s="7" t="s">
        <v>13</v>
      </c>
      <c r="I6" s="8">
        <v>6829</v>
      </c>
    </row>
    <row r="7" spans="1:9" x14ac:dyDescent="0.35">
      <c r="A7" s="16">
        <v>45292</v>
      </c>
      <c r="B7" s="17" t="s">
        <v>5</v>
      </c>
      <c r="C7" s="17" t="s">
        <v>6</v>
      </c>
      <c r="D7" s="18">
        <v>456</v>
      </c>
      <c r="E7" s="18">
        <v>93</v>
      </c>
      <c r="F7" s="17" t="s">
        <v>6</v>
      </c>
    </row>
    <row r="8" spans="1:9" x14ac:dyDescent="0.35">
      <c r="A8" s="16">
        <v>45311.052627314813</v>
      </c>
      <c r="B8" s="17" t="s">
        <v>7</v>
      </c>
      <c r="C8" s="17" t="s">
        <v>6</v>
      </c>
      <c r="D8" s="18">
        <v>247</v>
      </c>
      <c r="E8" s="18">
        <v>76</v>
      </c>
      <c r="F8" s="17" t="s">
        <v>6</v>
      </c>
    </row>
    <row r="9" spans="1:9" x14ac:dyDescent="0.35">
      <c r="A9" s="16">
        <v>45330.105266203704</v>
      </c>
      <c r="B9" s="17" t="s">
        <v>5</v>
      </c>
      <c r="C9" s="17" t="s">
        <v>6</v>
      </c>
      <c r="D9" s="18">
        <v>281</v>
      </c>
      <c r="E9" s="18">
        <v>50</v>
      </c>
      <c r="F9" s="17" t="s">
        <v>6</v>
      </c>
    </row>
    <row r="10" spans="1:9" x14ac:dyDescent="0.35">
      <c r="A10" s="16">
        <v>45368.210520833331</v>
      </c>
      <c r="B10" s="17" t="s">
        <v>7</v>
      </c>
      <c r="C10" s="17" t="s">
        <v>6</v>
      </c>
      <c r="D10" s="18">
        <v>76</v>
      </c>
      <c r="E10" s="18">
        <v>63</v>
      </c>
      <c r="F10" s="17" t="s">
        <v>6</v>
      </c>
    </row>
    <row r="11" spans="1:9" x14ac:dyDescent="0.35">
      <c r="A11" s="16">
        <v>45387.263159722221</v>
      </c>
      <c r="B11" s="17" t="s">
        <v>7</v>
      </c>
      <c r="C11" s="17" t="s">
        <v>6</v>
      </c>
      <c r="D11" s="18">
        <v>205</v>
      </c>
      <c r="E11" s="18">
        <v>23</v>
      </c>
      <c r="F11" s="17" t="s">
        <v>6</v>
      </c>
    </row>
    <row r="12" spans="1:9" x14ac:dyDescent="0.35">
      <c r="A12" s="16">
        <v>45406.315787037034</v>
      </c>
      <c r="B12" s="17" t="s">
        <v>10</v>
      </c>
      <c r="C12" s="17" t="s">
        <v>6</v>
      </c>
      <c r="D12" s="18">
        <v>467</v>
      </c>
      <c r="E12" s="18">
        <v>97</v>
      </c>
      <c r="F12" s="17" t="s">
        <v>6</v>
      </c>
    </row>
    <row r="13" spans="1:9" x14ac:dyDescent="0.35">
      <c r="A13" s="16">
        <v>45415.842106481483</v>
      </c>
      <c r="B13" s="17" t="s">
        <v>5</v>
      </c>
      <c r="C13" s="17" t="s">
        <v>6</v>
      </c>
      <c r="D13" s="18">
        <v>380</v>
      </c>
      <c r="E13" s="18">
        <v>92</v>
      </c>
      <c r="F13" s="17" t="s">
        <v>6</v>
      </c>
    </row>
    <row r="14" spans="1:9" x14ac:dyDescent="0.35">
      <c r="A14" s="16">
        <v>45434.894733796296</v>
      </c>
      <c r="B14" s="17" t="s">
        <v>7</v>
      </c>
      <c r="C14" s="17" t="s">
        <v>6</v>
      </c>
      <c r="D14" s="18">
        <v>409</v>
      </c>
      <c r="E14" s="18">
        <v>81</v>
      </c>
      <c r="F14" s="17" t="s">
        <v>6</v>
      </c>
    </row>
    <row r="15" spans="1:9" x14ac:dyDescent="0.35">
      <c r="A15" s="16">
        <v>45301.526319444441</v>
      </c>
      <c r="B15" s="17" t="s">
        <v>7</v>
      </c>
      <c r="C15" s="17" t="s">
        <v>8</v>
      </c>
      <c r="D15" s="18">
        <v>348</v>
      </c>
      <c r="E15" s="18">
        <v>56</v>
      </c>
      <c r="F15" t="s">
        <v>27</v>
      </c>
    </row>
    <row r="16" spans="1:9" x14ac:dyDescent="0.35">
      <c r="A16" s="16">
        <v>45339.631574074076</v>
      </c>
      <c r="B16" s="17" t="s">
        <v>5</v>
      </c>
      <c r="C16" s="17" t="s">
        <v>8</v>
      </c>
      <c r="D16" s="18">
        <v>334</v>
      </c>
      <c r="E16" s="18">
        <v>52</v>
      </c>
      <c r="F16" t="s">
        <v>27</v>
      </c>
    </row>
    <row r="17" spans="1:6" x14ac:dyDescent="0.35">
      <c r="A17" s="16">
        <v>45377.736840277779</v>
      </c>
      <c r="B17" s="17" t="s">
        <v>5</v>
      </c>
      <c r="C17" s="17" t="s">
        <v>8</v>
      </c>
      <c r="D17" s="18">
        <v>441</v>
      </c>
      <c r="E17" s="18">
        <v>79</v>
      </c>
      <c r="F17" t="s">
        <v>27</v>
      </c>
    </row>
    <row r="18" spans="1:6" x14ac:dyDescent="0.35">
      <c r="A18" s="16">
        <v>45396.789479166669</v>
      </c>
      <c r="B18" s="17" t="s">
        <v>5</v>
      </c>
      <c r="C18" s="17" t="s">
        <v>8</v>
      </c>
      <c r="D18" s="18">
        <v>483</v>
      </c>
      <c r="E18" s="18">
        <v>97</v>
      </c>
      <c r="F18" t="s">
        <v>27</v>
      </c>
    </row>
    <row r="19" spans="1:6" x14ac:dyDescent="0.35">
      <c r="A19" s="16">
        <v>45425.368425925924</v>
      </c>
      <c r="B19" s="17" t="s">
        <v>7</v>
      </c>
      <c r="C19" s="17" t="s">
        <v>8</v>
      </c>
      <c r="D19" s="18">
        <v>497</v>
      </c>
      <c r="E19" s="18">
        <v>71</v>
      </c>
      <c r="F19" t="s">
        <v>27</v>
      </c>
    </row>
    <row r="20" spans="1:6" x14ac:dyDescent="0.35">
      <c r="A20" s="16">
        <v>45444.421053240738</v>
      </c>
      <c r="B20" s="17" t="s">
        <v>5</v>
      </c>
      <c r="C20" s="17" t="s">
        <v>8</v>
      </c>
      <c r="D20" s="18">
        <v>53</v>
      </c>
      <c r="E20" s="18">
        <v>45</v>
      </c>
      <c r="F20" t="s">
        <v>27</v>
      </c>
    </row>
    <row r="21" spans="1:6" x14ac:dyDescent="0.35">
      <c r="A21" s="16">
        <v>45463.473680555559</v>
      </c>
      <c r="B21" s="17" t="s">
        <v>11</v>
      </c>
      <c r="C21" s="17" t="s">
        <v>8</v>
      </c>
      <c r="D21" s="18">
        <v>347</v>
      </c>
      <c r="E21" s="18">
        <v>35</v>
      </c>
      <c r="F21" t="s">
        <v>27</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Sheet2</vt:lpstr>
      <vt:lpstr>Sheet1</vt:lpstr>
      <vt:lpstr>Sheet5</vt:lpstr>
      <vt:lpstr>Sheet7</vt:lpstr>
      <vt:lpstr>Sheet6</vt:lpstr>
      <vt:lpstr>Sheet4</vt:lpstr>
      <vt:lpstr>Sheet9</vt:lpstr>
      <vt:lpstr>Sheet8</vt:lpstr>
      <vt:lpstr>Sheet12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cp:lastPrinted>2025-11-12T11:00:58Z</cp:lastPrinted>
  <dcterms:created xsi:type="dcterms:W3CDTF">2025-11-12T02:57:40Z</dcterms:created>
  <dcterms:modified xsi:type="dcterms:W3CDTF">2025-11-12T12:46:01Z</dcterms:modified>
</cp:coreProperties>
</file>